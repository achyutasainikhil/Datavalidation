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Work Done" sheetId="2" state="visible" r:id="rId4"/>
    <sheet name="Profiling Findings" sheetId="3" state="visible" r:id="rId5"/>
    <sheet name="Rule Catalog" sheetId="4" state="visible" r:id="rId6"/>
    <sheet name="Questions" sheetId="5" state="visible" r:id="rId7"/>
    <sheet name="Next Steps" sheetId="6" state="visible" r:id="rId8"/>
  </sheets>
  <definedNames>
    <definedName function="false" hidden="true" localSheetId="5" name="_xlnm._FilterDatabase" vbProcedure="false">'Next Steps'!$A$1:$E$9</definedName>
    <definedName function="false" hidden="true" localSheetId="2" name="_xlnm._FilterDatabase" vbProcedure="false">'Profiling Findings'!$A$1:$F$16</definedName>
    <definedName function="false" hidden="true" localSheetId="4" name="_xlnm._FilterDatabase" vbProcedure="false">Questions!$A$1:$I$17</definedName>
    <definedName function="false" hidden="true" localSheetId="3" name="_xlnm._FilterDatabase" vbProcedure="false">'Rule Catalog'!$A$1:$F$117</definedName>
    <definedName function="false" hidden="true" localSheetId="1" name="_xlnm._FilterDatabase" vbProcedure="false">'Work Done'!$A$1:$F$11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<sst xmlns="http://schemas.openxmlformats.org/spreadsheetml/2006/main" count="1051" uniqueCount="506">
  <si>
    <t xml:space="preserve">PBI 3586168: Data Quality Rule Expansion (Party Core silver contract, RTMI and Iris loads)</t>
  </si>
  <si>
    <t xml:space="preserve">Prepared 2026-10-28 for Sai (Qualitest, TrustAge Foundational Data Products). Contract: Party Core silver raw vault, ODCS v3.1.0.</t>
  </si>
  <si>
    <t xml:space="preserve">What this PBI asks</t>
  </si>
  <si>
    <t xml:space="preserve">Add hard data quality rules, not business rules (per Christine McWilliams, Data Product Owner), to the silver data contract for the RTMI and Iris loads.</t>
  </si>
  <si>
    <t xml:space="preserve">Bob supplied one AI-generated contract (v0.3.0 draft, 27 objects, 233 columns) covering both sources. It had load-test rules but few column-level data quality rules.</t>
  </si>
  <si>
    <t xml:space="preserve">How we worked</t>
  </si>
  <si>
    <t xml:space="preserve">1. Read the whole contract and listed what was missing.  2. Wrote rules that need no data to design (keys, hashes, blanks, dates).  3. Profiled the bronze tables in Fabric to see real values.  4. Wrote code-set, format and consistency rules from what the data actually holds.  5. Logged what only Bob or Christine can answer.</t>
  </si>
  <si>
    <t xml:space="preserve">Tabs</t>
  </si>
  <si>
    <t xml:space="preserve">Work Done: each step, why we did it, and what came out.</t>
  </si>
  <si>
    <t xml:space="preserve">Profiling Findings: what the bronze data showed and what it changed.</t>
  </si>
  <si>
    <t xml:space="preserve">Rule Catalog: every rule added in v0.4.0 and v0.5.0 (taken from the contract file, not retyped).</t>
  </si>
  <si>
    <t xml:space="preserve">Questions: what to ask Bob, Christine and the team, why, and what is blocked until answered. Answer column is yours to fill.</t>
  </si>
  <si>
    <t xml:space="preserve">Next Steps: remaining work to close the PBI.</t>
  </si>
  <si>
    <t xml:space="preserve">Counts (calculated from the Rule Catalog tab)</t>
  </si>
  <si>
    <t xml:space="preserve">New rules in the contract (v0.4.0 and v0.5.0)</t>
  </si>
  <si>
    <t xml:space="preserve">  of which severity warning</t>
  </si>
  <si>
    <t xml:space="preserve">  of which severity critical</t>
  </si>
  <si>
    <t xml:space="preserve">Questions logged</t>
  </si>
  <si>
    <t xml:space="preserve">Questions still open</t>
  </si>
  <si>
    <t xml:space="preserve">Not run: none of the new rule SQL has been executed against real silver data yet (silver tables are not loaded or not accessible to us). Rules were checked for unique ids, valid YAML and valid table references only.</t>
  </si>
  <si>
    <t xml:space="preserve">#</t>
  </si>
  <si>
    <t xml:space="preserve">What we did</t>
  </si>
  <si>
    <t xml:space="preserve">Why we did it</t>
  </si>
  <si>
    <t xml:space="preserve">What it produced</t>
  </si>
  <si>
    <t xml:space="preserve">Output / where</t>
  </si>
  <si>
    <t xml:space="preserve">Status</t>
  </si>
  <si>
    <t xml:space="preserve">1</t>
  </si>
  <si>
    <t xml:space="preserve">Read the full contract (6,619 lines) and gap-listed it</t>
  </si>
  <si>
    <t xml:space="preserve">Bob asked for DQ rules but gave no list of gaps. We needed to know what the contract already tested and what it did not before adding anything.</t>
  </si>
  <si>
    <t xml:space="preserve">Contract has 27 objects and 233 columns. It had load-test rules but almost no column-level checks: no orphan checks, no hash recompute, no blank checks, no code sets.</t>
  </si>
  <si>
    <t xml:space="preserve">Gap list shared in chat</t>
  </si>
  <si>
    <t xml:space="preserve">Done</t>
  </si>
  <si>
    <t xml:space="preserve">2</t>
  </si>
  <si>
    <t xml:space="preserve">Wrote data-independent rules (group A)</t>
  </si>
  <si>
    <t xml:space="preserve">These protect the vault structure and need no profiling. They are safe to add first and are the most defensible as hard data quality rules.</t>
  </si>
  <si>
    <t xml:space="preserve">Foreign-key orphan checks, hash recompute checks, blank business-key checks, satellite version and date ordering checks, plausible date ranges, and coverage checks. Detail in Rule Catalog.</t>
  </si>
  <si>
    <t xml:space="preserve">Contract v0.4.0 (84 rules)</t>
  </si>
  <si>
    <t xml:space="preserve">3</t>
  </si>
  <si>
    <t xml:space="preserve">Set rule convention</t>
  </si>
  <si>
    <t xml:space="preserve">So reviewers can trust the rules: same shape as the rules already in the contract.</t>
  </si>
  <si>
    <t xml:space="preserve">type custom, engine sql, SQL returns offending rows (zero rows = pass). New rules default to severity warning so they cannot block a load until D26 and D65 are decided.</t>
  </si>
  <si>
    <t xml:space="preserve">Built into the generator</t>
  </si>
  <si>
    <t xml:space="preserve">4</t>
  </si>
  <si>
    <t xml:space="preserve">Profiled the bronze tables in Fabric (T-SQL)</t>
  </si>
  <si>
    <t xml:space="preserve">Code sets, formats and ranges cannot be written from the mapping alone. We needed the values the sources really send. A notebook was not possible (read-only access), so profiling used the SQL analytics endpoint.</t>
  </si>
  <si>
    <t xml:space="preserve">Ran column profile (Block 1A) for rtmi_individual and iris_customer, code counts (Block 2), duplicate and key checks (Block 3), SSN token tests, phone digit counts, duplicate-pair tests, member-number and ZIP length counts.</t>
  </si>
  <si>
    <t xml:space="preserve">Profiling_Bronze notebook queries; results pasted into chat</t>
  </si>
  <si>
    <t xml:space="preserve">5</t>
  </si>
  <si>
    <t xml:space="preserve">Wrote code-set, format and consistency rules (group B)</t>
  </si>
  <si>
    <t xml:space="preserve">Rules built from observed values catch new or bad values without guessing.</t>
  </si>
  <si>
    <t xml:space="preserve">Accepted-value sets for code columns, ZIP, latitude and longitude format, blank first and last names and phone, DOB indicator consistency, deceased and death date, opt-out reason, SSN token shape, member number format.</t>
  </si>
  <si>
    <t xml:space="preserve">Contract v0.5.0 (116 new rules in total)</t>
  </si>
  <si>
    <t xml:space="preserve">6</t>
  </si>
  <si>
    <t xml:space="preserve">Removed a wrong rule I had drafted</t>
  </si>
  <si>
    <t xml:space="preserve">My first SSN rule assumed tokens would not look like real SSNs. Profiling showed almost every value is 9 digits starting 8 or 9, so the rule would have failed nearly every row.</t>
  </si>
  <si>
    <t xml:space="preserve">Replaced with a warning rule: SSN identifier is nine digits starting 8 or 9. Token range still to be confirmed (D74).</t>
  </si>
  <si>
    <t xml:space="preserve">Rule hub_party_identifier_ssn_token_shape</t>
  </si>
  <si>
    <t xml:space="preserve">7</t>
  </si>
  <si>
    <t xml:space="preserve">Found the Iris duplicate pairs are really two addresses</t>
  </si>
  <si>
    <t xml:space="preserve">20,705 customer-and-delivery pairs looked like duplicates. Comparing every column showed names, SSN token, birth date and dates are identical, but address lines and ZIP differ, so each is a second address.</t>
  </si>
  <si>
    <t xml:space="preserve">Satellite key is party_hk plus load_date, so a second address collides. Added a rule that reports it and opened D71.</t>
  </si>
  <si>
    <t xml:space="preserve">Rule sat_party_address_iris__one_row_per_party_per_load; D71</t>
  </si>
  <si>
    <t xml:space="preserve">8</t>
  </si>
  <si>
    <t xml:space="preserve">Found RTMI holds closed rows beside open rows</t>
  </si>
  <si>
    <t xml:space="preserve">705,704 closed rows (477,197 members) sit beside 78,683,030 open rows with exactly one open row per member. Loading all rows would double-load those members.</t>
  </si>
  <si>
    <t xml:space="preserve">Opened D72 to confirm loads read only open rows (EndDate 9999 or later).</t>
  </si>
  <si>
    <t xml:space="preserve">D72</t>
  </si>
  <si>
    <t xml:space="preserve">Done, awaiting Bob</t>
  </si>
  <si>
    <t xml:space="preserve">9</t>
  </si>
  <si>
    <t xml:space="preserve">Bumped contract to v0.5.0, added changelog and open decisions D71 to D74</t>
  </si>
  <si>
    <t xml:space="preserve">Reviewers can see exactly what changed and what is waiting on a decision.</t>
  </si>
  <si>
    <t xml:space="preserve">Version 0.5.0, changelog entry dated 2026-10-28, four new open decisions.</t>
  </si>
  <si>
    <t xml:space="preserve">party_core_v0.5.0.yaml</t>
  </si>
  <si>
    <t xml:space="preserve">10</t>
  </si>
  <si>
    <t xml:space="preserve">Validated the contract file</t>
  </si>
  <si>
    <t xml:space="preserve">Catch mistakes before Bob does.</t>
  </si>
  <si>
    <t xml:space="preserve">YAML parses, 397 rule ids all unique, no duplicate ids, object references valid. 52 columns still have no rule; not yet reviewed.</t>
  </si>
  <si>
    <t xml:space="preserve">Lint output</t>
  </si>
  <si>
    <t xml:space="preserve">Done, with the gaps noted</t>
  </si>
  <si>
    <t xml:space="preserve">Source</t>
  </si>
  <si>
    <t xml:space="preserve">Topic</t>
  </si>
  <si>
    <t xml:space="preserve">What the data showed</t>
  </si>
  <si>
    <t xml:space="preserve">What it means</t>
  </si>
  <si>
    <t xml:space="preserve">Contract change / link</t>
  </si>
  <si>
    <t xml:space="preserve">Result</t>
  </si>
  <si>
    <t xml:space="preserve">RTMI</t>
  </si>
  <si>
    <t xml:space="preserve">Missing values</t>
  </si>
  <si>
    <t xml:space="preserve">RTMI bronze uses empty strings for missing; Iris uses real NULLs.</t>
  </si>
  <si>
    <t xml:space="preserve">Rules must test NULLIF(TRIM(col),'') or they miss RTMI blanks.</t>
  </si>
  <si>
    <t xml:space="preserve">Blank-check rules (name, phone, ZIP, latitude, longitude, opt-out reason)</t>
  </si>
  <si>
    <t xml:space="preserve">Rule design</t>
  </si>
  <si>
    <t xml:space="preserve">Both</t>
  </si>
  <si>
    <t xml:space="preserve">SSN token</t>
  </si>
  <si>
    <t xml:space="preserve">Every SSN_TOKEN value is 9 digits. 98.1% (RTMI) and 93.7% (Iris) of values start 9, the rest 8. 17 Iris rows start 1, 2, 5 or 6.</t>
  </si>
  <si>
    <t xml:space="preserve">It is a vendor token, not a raw SSN. The impossible-SSN pattern test was not a valid tokenization test.</t>
  </si>
  <si>
    <t xml:space="preserve">hub_party_identifier_ssn_token_shape (warning); D74</t>
  </si>
  <si>
    <t xml:space="preserve">Rule changed</t>
  </si>
  <si>
    <t xml:space="preserve">Iris</t>
  </si>
  <si>
    <t xml:space="preserve">Duplicate pairs</t>
  </si>
  <si>
    <t xml:space="preserve">20,705 pairs of the same IRIS_ID in one delivery; 99% have two rows, both open. Names, SSN token, DOB, event and dates are identical. LINE1 differs in 91%, ZIP in 89%, CITY in 21%, STATE in 5%.</t>
  </si>
  <si>
    <t xml:space="preserve">Iris sends one row per customer per address and gives no address type.</t>
  </si>
  <si>
    <t xml:space="preserve">sat_party_address_iris__one_row_per_party_per_load; D71</t>
  </si>
  <si>
    <t xml:space="preserve">Rule added, decision open</t>
  </si>
  <si>
    <t xml:space="preserve">Pair tail</t>
  </si>
  <si>
    <t xml:space="preserve">153 groups have 3 to 8 open rows; 2 groups have none open.</t>
  </si>
  <si>
    <t xml:space="preserve">Small but real, worth listing to Bob.</t>
  </si>
  <si>
    <t xml:space="preserve">Reported in D71</t>
  </si>
  <si>
    <t xml:space="preserve">Noted</t>
  </si>
  <si>
    <t xml:space="preserve">Open vs closed rows</t>
  </si>
  <si>
    <t xml:space="preserve">Open 78,683,030 rows, one per member. Closed 705,704 rows for 477,197 members.</t>
  </si>
  <si>
    <t xml:space="preserve">Loads must read only open rows or members load twice.</t>
  </si>
  <si>
    <t xml:space="preserve">Decision open</t>
  </si>
  <si>
    <t xml:space="preserve">Member number length</t>
  </si>
  <si>
    <t xml:space="preserve">5 to 9 digits on about 95% of rows; 13 digits on 4,202,506; one 2-digit stray.</t>
  </si>
  <si>
    <t xml:space="preserve">13-digit values look like Iris customer identifiers. They could collide across the two domains.</t>
  </si>
  <si>
    <t xml:space="preserve">hub_party__party_business_key_length; D73</t>
  </si>
  <si>
    <t xml:space="preserve">ZIP length</t>
  </si>
  <si>
    <t xml:space="preserve">9 digits (no hyphen) on 22,191,804 rows; 5 digits on 410,116; 10 characters on 6,904; 249 rows of length 6 to 8; 1,595 blank.</t>
  </si>
  <si>
    <t xml:space="preserve">Mostly clean. Only 249 malformed rows. Silver loads ZIP as supplied.</t>
  </si>
  <si>
    <t xml:space="preserve">sat_party_address_*__zip_code_format (warning)</t>
  </si>
  <si>
    <t xml:space="preserve">Rule added</t>
  </si>
  <si>
    <t xml:space="preserve">Telephone</t>
  </si>
  <si>
    <t xml:space="preserve">Every non-empty phone is exactly 10 digits after stripping formatting. Home phone empty on 14.4M rows; business phone empty on 79.3M of 79.4M rows.</t>
  </si>
  <si>
    <t xml:space="preserve">No length rule needed to catch bad data today; kept as a warning so new bad values appear.</t>
  </si>
  <si>
    <t xml:space="preserve">Contact point value rules</t>
  </si>
  <si>
    <t xml:space="preserve">Deceased indicator</t>
  </si>
  <si>
    <t xml:space="preserve">1,165,131 T rows: 679,980 with a death date, 485,151 without. No F or blank row has a death date. 200,858 rows have a blank indicator.</t>
  </si>
  <si>
    <t xml:space="preserve">Death date implies T always. T without a date is common, so the rule will report 485,151 rows.</t>
  </si>
  <si>
    <t xml:space="preserve">sat_party_status_rtmi__deceased_has_death_date (warning)</t>
  </si>
  <si>
    <t xml:space="preserve">Rule added, expected to fire</t>
  </si>
  <si>
    <t xml:space="preserve">Code sets</t>
  </si>
  <si>
    <t xml:space="preserve">Marital status carries about 3,800 rows with junk codes (digits 1 to 9, N). Opt-out reason spells the same reason several ways, including the typo "Comanies".</t>
  </si>
  <si>
    <t xml:space="preserve">Code-set rules detect these. Conforming the variants belongs in the business vault.</t>
  </si>
  <si>
    <t xml:space="preserve">Accepted-value rules</t>
  </si>
  <si>
    <t xml:space="preserve">Rules added</t>
  </si>
  <si>
    <t xml:space="preserve">Dates</t>
  </si>
  <si>
    <t xml:space="preserve">RTMI date of birth out of plausible range on 839 rows; date of death before birth on 21. Iris birth date out of range on 170 rows.</t>
  </si>
  <si>
    <t xml:space="preserve">Plausible range rules report these at warning level.</t>
  </si>
  <si>
    <t xml:space="preserve">Date plausibility rules</t>
  </si>
  <si>
    <t xml:space="preserve">StartDate and EndDate</t>
  </si>
  <si>
    <t xml:space="preserve">The contract says StartDate is null on all rows; it is populated on every Iris row. EndDate uses a 9999-12-31 sentinel.</t>
  </si>
  <si>
    <t xml:space="preserve">Contract text is wrong in at least one place.</t>
  </si>
  <si>
    <t xml:space="preserve">Question Q9</t>
  </si>
  <si>
    <t xml:space="preserve">Raise with Bob</t>
  </si>
  <si>
    <t xml:space="preserve">Address validation date</t>
  </si>
  <si>
    <t xml:space="preserve">ADDRESS_VALIDATION_DATE is 100% null.</t>
  </si>
  <si>
    <t xml:space="preserve">Column is never populated, so no rule can test it.</t>
  </si>
  <si>
    <t xml:space="preserve">Question Q10</t>
  </si>
  <si>
    <t xml:space="preserve">Event type</t>
  </si>
  <si>
    <t xml:space="preserve">PartyMerge is 32 of 22.6M rows; PartyAdd is the rest.</t>
  </si>
  <si>
    <t xml:space="preserve">PartyMerge is a business event (D34), not a hard data quality matter.</t>
  </si>
  <si>
    <t xml:space="preserve">Accepted-value rule on Event_type</t>
  </si>
  <si>
    <t xml:space="preserve">Suffix name</t>
  </si>
  <si>
    <t xml:space="preserve">SUFFIX_NAME holds 198 distinct values in a 5-character column.</t>
  </si>
  <si>
    <t xml:space="preserve">Likely a mapping or truncation issue.</t>
  </si>
  <si>
    <t xml:space="preserve">Question Q11</t>
  </si>
  <si>
    <t xml:space="preserve">Rule id</t>
  </si>
  <si>
    <t xml:space="preserve">Object</t>
  </si>
  <si>
    <t xml:space="preserve">Rule name</t>
  </si>
  <si>
    <t xml:space="preserve">Severity</t>
  </si>
  <si>
    <t xml:space="preserve">Dimension</t>
  </si>
  <si>
    <t xml:space="preserve">What it checks (as in the contract)</t>
  </si>
  <si>
    <t xml:space="preserve">esat_lnk_party_identifier_iris__lnk_party_identifier_hk_has_parent</t>
  </si>
  <si>
    <t xml:space="preserve">esat_lnk_party_identifier_iris</t>
  </si>
  <si>
    <t xml:space="preserve">lnk_party_identifier_hk exists in lnk_party_identifier</t>
  </si>
  <si>
    <t xml:space="preserve">warning</t>
  </si>
  <si>
    <t xml:space="preserve">consistency</t>
  </si>
  <si>
    <t xml:space="preserve">Every lnk_party_identifier_hk resolves to a row in lnk_party_identifier, the zero-key row included. Returns each orphaned key.</t>
  </si>
  <si>
    <t xml:space="preserve">esat_lnk_party_identifier_iris_applied_date_not_after_load_date</t>
  </si>
  <si>
    <t xml:space="preserve">applied_date not later than the load date</t>
  </si>
  <si>
    <t xml:space="preserve">accuracy</t>
  </si>
  <si>
    <t xml:space="preserve">The source cannot state a change was applied after the platform loaded it. Reported, the row is loaded. Returns each offending row's key.</t>
  </si>
  <si>
    <t xml:space="preserve">esat_lnk_party_identifier_iris_no_repeated_hash_diff</t>
  </si>
  <si>
    <t xml:space="preserve">No two consecutive versions are identical</t>
  </si>
  <si>
    <t xml:space="preserve">uniqueness</t>
  </si>
  <si>
    <t xml:space="preserve">A new row is written only when the payload changes, so a version never repeats the hash_diff of the version before it. Returns each repeated version.</t>
  </si>
  <si>
    <t xml:space="preserve">esat_lnk_party_identifier_rtmi__end_not_before_start</t>
  </si>
  <si>
    <t xml:space="preserve">esat_lnk_party_identifier_rtmi</t>
  </si>
  <si>
    <t xml:space="preserve">end_timestamp not earlier than origin_timestamp</t>
  </si>
  <si>
    <t xml:space="preserve">Reported where end_timestamp is earlier than origin_timestamp. The row is loaded, not rejected. Returns each offending row's key.</t>
  </si>
  <si>
    <t xml:space="preserve">esat_lnk_party_identifier_rtmi__lnk_party_identifier_hk_has_parent</t>
  </si>
  <si>
    <t xml:space="preserve">esat_lnk_party_identifier_rtmi_applied_date_not_after_load_date</t>
  </si>
  <si>
    <t xml:space="preserve">esat_lnk_party_identifier_rtmi_no_repeated_hash_diff</t>
  </si>
  <si>
    <t xml:space="preserve">hub_party__party_business_key_length</t>
  </si>
  <si>
    <t xml:space="preserve">hub_party</t>
  </si>
  <si>
    <t xml:space="preserve">party_business_key is digits and 5 to 9 or 13 long</t>
  </si>
  <si>
    <t xml:space="preserve">conformity</t>
  </si>
  <si>
    <t xml:space="preserve">Bronze RTMI member numbers are 5 to 9 digits on about 95 percent of rows and 13 digits on 4,202,506 rows, with one two digit stray. Iris customer identifiers are 13 digits in the sample. Reported where the key is not all digits or its length is not 5 to 9 or 13, so a new format shows up. The row is loaded. Returns each offending key.</t>
  </si>
  <si>
    <t xml:space="preserve">hub_party_business_key_not_blank</t>
  </si>
  <si>
    <t xml:space="preserve">party_business_key is not blank</t>
  </si>
  <si>
    <t xml:space="preserve">completeness</t>
  </si>
  <si>
    <t xml:space="preserve">party_business_key holds more than whitespace on every row. Returns each offending key.</t>
  </si>
  <si>
    <t xml:space="preserve">hub_party_has_anchor_identifier</t>
  </si>
  <si>
    <t xml:space="preserve">Every party has an anchor identifier</t>
  </si>
  <si>
    <t xml:space="preserve">Each hub_party row, the zero-key row aside, has a row in lnk_party_anchor_identifier. Returns each party without one.</t>
  </si>
  <si>
    <t xml:space="preserve">hub_party_hash_recomputes</t>
  </si>
  <si>
    <t xml:space="preserve">party_hk recomputes from its business key</t>
  </si>
  <si>
    <t xml:space="preserve">party_hk equals the SHA-256 of its pre-image, the zero-key row aside. Pre-image as stated in the column description; confirm with the load specification. Returns each key that does not recompute.</t>
  </si>
  <si>
    <t xml:space="preserve">hub_party_identifier_hash_recomputes</t>
  </si>
  <si>
    <t xml:space="preserve">hub_party_identifier</t>
  </si>
  <si>
    <t xml:space="preserve">party_identifier_hk recomputes from its business key</t>
  </si>
  <si>
    <t xml:space="preserve">party_identifier_hk equals the SHA-256 of its pre-image, the zero-key row aside. Pre-image as stated in the column description. Returns each key that does not recompute.</t>
  </si>
  <si>
    <t xml:space="preserve">hub_party_identifier_is_attached</t>
  </si>
  <si>
    <t xml:space="preserve">Every identifier is attached to a party</t>
  </si>
  <si>
    <t xml:space="preserve">Each hub_party_identifier row, the zero-key row aside, has a row in lnk_party_identifier. Returns each identifier without one.</t>
  </si>
  <si>
    <t xml:space="preserve">hub_party_identifier_ssn_token_shape</t>
  </si>
  <si>
    <t xml:space="preserve">SSN identifier is a nine digit token in the token range</t>
  </si>
  <si>
    <t xml:space="preserve">An identifier whose type starts with SSN holds nine digits beginning with 8 or 9, which is the range the bronze SSN_TOKEN column uses. In bronze 56,981,156 RTMI and 16,522,714 Iris values begin with 9, 1,110,058 and 1,114,009 begin with 8, and 17 Iris values begin with 1, 2, 5 or 6. The token range and the type codes are open with Bob, so this is a proposal. Returns each offending key.</t>
  </si>
  <si>
    <t xml:space="preserve">hub_party_identifier_value_not_blank</t>
  </si>
  <si>
    <t xml:space="preserve">identifier_value is not blank</t>
  </si>
  <si>
    <t xml:space="preserve">identifier_value holds more than whitespace on every row. Returns each offending key.</t>
  </si>
  <si>
    <t xml:space="preserve">lnk_party_anchor_identifier__party_hk_has_parent</t>
  </si>
  <si>
    <t xml:space="preserve">lnk_party_anchor_identifier</t>
  </si>
  <si>
    <t xml:space="preserve">party_hk exists in hub_party</t>
  </si>
  <si>
    <t xml:space="preserve">Every party_hk resolves to a row in hub_party, the zero-key row included. Returns each orphaned key.</t>
  </si>
  <si>
    <t xml:space="preserve">lnk_party_anchor_identifier__party_identifier_hk_has_parent</t>
  </si>
  <si>
    <t xml:space="preserve">party_identifier_hk exists in hub_party_identifier</t>
  </si>
  <si>
    <t xml:space="preserve">Every party_identifier_hk resolves to a row in hub_party_identifier, the zero-key row included. Returns each orphaned key.</t>
  </si>
  <si>
    <t xml:space="preserve">lnk_party_anchor_identifier_hash_recomputes</t>
  </si>
  <si>
    <t xml:space="preserve">lnk_party_anchor_identifier_hk recomputes from its business key</t>
  </si>
  <si>
    <t xml:space="preserve">lnk_party_anchor_identifier_hk equals the SHA-256 of its pre-image, the zero-key row aside. Pre-image as stated in the column description. Returns each key that does not recompute.</t>
  </si>
  <si>
    <t xml:space="preserve">lnk_party_identifier__party_hk_has_parent</t>
  </si>
  <si>
    <t xml:space="preserve">lnk_party_identifier</t>
  </si>
  <si>
    <t xml:space="preserve">lnk_party_identifier__party_identifier_hk_has_parent</t>
  </si>
  <si>
    <t xml:space="preserve">lnk_party_identifier_hash_recomputes</t>
  </si>
  <si>
    <t xml:space="preserve">lnk_party_identifier_hk recomputes from its business key</t>
  </si>
  <si>
    <t xml:space="preserve">lnk_party_identifier_hk equals the SHA-256 of its pre-image, the zero-key row aside. Pre-image as stated in the column description. Returns each key that does not recompute.</t>
  </si>
  <si>
    <t xml:space="preserve">msat_party_contact_point_rtmi__contact_point_value_not_blank</t>
  </si>
  <si>
    <t xml:space="preserve">msat_party_contact_point_rtmi</t>
  </si>
  <si>
    <t xml:space="preserve">contact_point_value is not blank</t>
  </si>
  <si>
    <t xml:space="preserve">Reported where the telephone value is null or only whitespace. The row is loaded. Returns each offending row's key.</t>
  </si>
  <si>
    <t xml:space="preserve">msat_party_contact_point_rtmi__end_not_before_effective</t>
  </si>
  <si>
    <t xml:space="preserve">contact_point_end_date not earlier than contact_point_effective_date</t>
  </si>
  <si>
    <t xml:space="preserve">Reported where the end date is earlier than the effective date. The row is loaded, not rejected. Returns each offending row's key.</t>
  </si>
  <si>
    <t xml:space="preserve">msat_party_contact_point_rtmi__party_hk_has_parent</t>
  </si>
  <si>
    <t xml:space="preserve">msat_party_contact_point_rtmi_applied_date_not_after_load_date</t>
  </si>
  <si>
    <t xml:space="preserve">msat_party_contact_point_rtmi_no_repeated_hash_diff</t>
  </si>
  <si>
    <t xml:space="preserve">rts_party_identifier_iris__event_type_in_observed_set</t>
  </si>
  <si>
    <t xml:space="preserve">rts_party_identifier_iris</t>
  </si>
  <si>
    <t xml:space="preserve">event_type within the observed value set</t>
  </si>
  <si>
    <t xml:space="preserve">Iris event type. PartyMerge was 32 of 22.6M bronze rows. Values seen in the 2026-10-28 bronze profile: PartyAdd, PartyMerge, and blank. Reported where a value falls outside the set. The row is loaded, not rejected. Returns each offending row's key.</t>
  </si>
  <si>
    <t xml:space="preserve">rts_party_identifier_iris__party_identifier_hk_has_parent</t>
  </si>
  <si>
    <t xml:space="preserve">rts_party_identifier_rtmi__delta_type_in_observed_set</t>
  </si>
  <si>
    <t xml:space="preserve">rts_party_identifier_rtmi</t>
  </si>
  <si>
    <t xml:space="preserve">delta_type within the observed value set</t>
  </si>
  <si>
    <t xml:space="preserve">RTMI change indicator: add, update, delete. Values seen in the 2026-10-28 bronze profile: A, U, D, and blank. Reported where a value falls outside the set. The row is loaded, not rejected. Returns each offending row's key.</t>
  </si>
  <si>
    <t xml:space="preserve">rts_party_identifier_rtmi__party_identifier_hk_has_parent</t>
  </si>
  <si>
    <t xml:space="preserve">rts_party_iris__event_type_in_observed_set</t>
  </si>
  <si>
    <t xml:space="preserve">rts_party_iris</t>
  </si>
  <si>
    <t xml:space="preserve">rts_party_iris__party_hk_has_parent</t>
  </si>
  <si>
    <t xml:space="preserve">rts_party_rtmi__delta_type_in_observed_set</t>
  </si>
  <si>
    <t xml:space="preserve">rts_party_rtmi</t>
  </si>
  <si>
    <t xml:space="preserve">rts_party_rtmi__party_hk_has_parent</t>
  </si>
  <si>
    <t xml:space="preserve">sat_party_address_iris__end_not_before_effective</t>
  </si>
  <si>
    <t xml:space="preserve">sat_party_address_iris</t>
  </si>
  <si>
    <t xml:space="preserve">address_end_date not earlier than address_effective_date</t>
  </si>
  <si>
    <t xml:space="preserve">sat_party_address_iris__one_row_per_party_per_load</t>
  </si>
  <si>
    <t xml:space="preserve">One Iris address row per party per load</t>
  </si>
  <si>
    <t xml:space="preserve">Iris delivers one bronze row per customer per address, and 20,705 customer and delivery pairs in the 2026-10-28 profile carried two addresses with identical names, birth date, SSN token and dates. The satellite key is party_hk and load_date, so a second address collides. This returns any party_hk and load_date that holds more than one row, and stays at warning until D71 says how the load picks or keeps the second address.</t>
  </si>
  <si>
    <t xml:space="preserve">sat_party_address_iris__party_hk_has_parent</t>
  </si>
  <si>
    <t xml:space="preserve">sat_party_address_iris__state_in_observed_set</t>
  </si>
  <si>
    <t xml:space="preserve">state within the observed value set</t>
  </si>
  <si>
    <t xml:space="preserve">US states, DC, territories, military codes, FM, MH, PW and Canadian provinces and territories. Whether Canadian codes belong is for Christine to confirm. Values seen in the 2026-10-28 bronze profile: AL, AK, AZ, AR, CA, CO, CT, DE, FL, GA, HI, ID, IL, IN, IA, KS, KY, LA, ME, MD, MA, MI, MN, MS, MO, MT, NE, NV, NH, NJ, NM, NY, NC, ND, OH, OK, OR, PA, RI, SC, SD, TN, TX, UT, VT, VA, WA, WV, WI, WY, DC, PR, GU, VI, AS, MP, AA, AE, AP, FM, MH, PW, AB, BC, MB, NB, NL, NS, NT, NU, ON, PE, QC, SK, YT, and blank. Reported where a value falls outside the set. The row is loaded, not rejected. Returns each offending row's key.</t>
  </si>
  <si>
    <t xml:space="preserve">sat_party_address_iris__zip_code_format</t>
  </si>
  <si>
    <t xml:space="preserve">zip_code is five digits or ZIP+4</t>
  </si>
  <si>
    <t xml:space="preserve">Where present, zip_code is five digits, nine digits, or five and four joined by a hyphen. Bronze holds nine digits with no hyphen on about 98 percent of Iris rows and five digits on most of the rest, and a few ten character values with a hyphen. Silver loads the value as supplied. Reported, the row is loaded. Returns each offending row's key.</t>
  </si>
  <si>
    <t xml:space="preserve">sat_party_address_iris_applied_date_not_after_load_date</t>
  </si>
  <si>
    <t xml:space="preserve">sat_party_address_iris_no_repeated_hash_diff</t>
  </si>
  <si>
    <t xml:space="preserve">sat_party_address_pii_iris__party_hk_has_parent</t>
  </si>
  <si>
    <t xml:space="preserve">sat_party_address_pii_iris</t>
  </si>
  <si>
    <t xml:space="preserve">sat_party_address_pii_iris_applied_date_not_after_load_date</t>
  </si>
  <si>
    <t xml:space="preserve">sat_party_address_pii_iris_no_repeated_hash_diff</t>
  </si>
  <si>
    <t xml:space="preserve">sat_party_address_pii_rtmi__latitude_numeric_range</t>
  </si>
  <si>
    <t xml:space="preserve">sat_party_address_pii_rtmi</t>
  </si>
  <si>
    <t xml:space="preserve">latitude numeric and in range</t>
  </si>
  <si>
    <t xml:space="preserve">Where present, latitude is numeric and within plus or minus 90. The column is held as text. Reported, the row is loaded. Returns each offending row's key.</t>
  </si>
  <si>
    <t xml:space="preserve">sat_party_address_pii_rtmi__longitude_numeric_range</t>
  </si>
  <si>
    <t xml:space="preserve">longitude numeric and in range</t>
  </si>
  <si>
    <t xml:space="preserve">Where present, longitude is numeric and within plus or minus 180. The column is held as text. Reported, the row is loaded. Returns each offending row's key.</t>
  </si>
  <si>
    <t xml:space="preserve">sat_party_address_pii_rtmi__party_hk_has_parent</t>
  </si>
  <si>
    <t xml:space="preserve">sat_party_address_pii_rtmi_applied_date_not_after_load_date</t>
  </si>
  <si>
    <t xml:space="preserve">sat_party_address_pii_rtmi_no_repeated_hash_diff</t>
  </si>
  <si>
    <t xml:space="preserve">sat_party_address_rtmi__address_cleansed_flag_in_observed_set</t>
  </si>
  <si>
    <t xml:space="preserve">sat_party_address_rtmi</t>
  </si>
  <si>
    <t xml:space="preserve">address_cleansed_flag within the observed value set</t>
  </si>
  <si>
    <t xml:space="preserve">RTMI sends T or F. Values seen in the 2026-10-28 bronze profile: T, F, and blank. Reported where a value falls outside the set. The row is loaded, not rejected. Returns each offending row's key.</t>
  </si>
  <si>
    <t xml:space="preserve">sat_party_address_rtmi__address_deliverable_flag_in_observed_set</t>
  </si>
  <si>
    <t xml:space="preserve">address_deliverable_flag within the observed value set</t>
  </si>
  <si>
    <t xml:space="preserve">sat_party_address_rtmi__address_type_in_observed_set</t>
  </si>
  <si>
    <t xml:space="preserve">address_type within the observed value set</t>
  </si>
  <si>
    <t xml:space="preserve">RTMI address type codes. Values seen in the 2026-10-28 bronze profile: P, B, M, F, and blank. Reported where a value falls outside the set. The row is loaded, not rejected. Returns each offending row's key.</t>
  </si>
  <si>
    <t xml:space="preserve">sat_party_address_rtmi__address_validation_date_plausible</t>
  </si>
  <si>
    <t xml:space="preserve">address_validation_date within a plausible range</t>
  </si>
  <si>
    <t xml:space="preserve">Reported where the validation date is before 1900-01-01 or in the future. Returns each offending row's key.</t>
  </si>
  <si>
    <t xml:space="preserve">sat_party_address_rtmi__end_not_before_effective</t>
  </si>
  <si>
    <t xml:space="preserve">sat_party_address_rtmi__ncoa_action_in_observed_set</t>
  </si>
  <si>
    <t xml:space="preserve">ncoa_action within the observed value set</t>
  </si>
  <si>
    <t xml:space="preserve">RTMI NCOA action codes. Values seen in the 2026-10-28 bronze profile: 0, 1, 2, and blank. Reported where a value falls outside the set. The row is loaded, not rejected. Returns each offending row's key.</t>
  </si>
  <si>
    <t xml:space="preserve">sat_party_address_rtmi__ncoa_delivery_in_observed_set</t>
  </si>
  <si>
    <t xml:space="preserve">ncoa_delivery within the observed value set</t>
  </si>
  <si>
    <t xml:space="preserve">RTMI NCOA delivery codes. Values seen in the 2026-10-28 bronze profile: M, P, K, G, S, F, and blank. Reported where a value falls outside the set. The row is loaded, not rejected. Returns each offending row's key.</t>
  </si>
  <si>
    <t xml:space="preserve">sat_party_address_rtmi__ncoa_move_type_in_observed_set</t>
  </si>
  <si>
    <t xml:space="preserve">ncoa_move_type within the observed value set</t>
  </si>
  <si>
    <t xml:space="preserve">RTMI NCOA move type codes. Values seen in the 2026-10-28 bronze profile: I, F, B, and blank. Reported where a value falls outside the set. The row is loaded, not rejected. Returns each offending row's key.</t>
  </si>
  <si>
    <t xml:space="preserve">sat_party_address_rtmi__party_hk_has_parent</t>
  </si>
  <si>
    <t xml:space="preserve">sat_party_address_rtmi__state_in_observed_set</t>
  </si>
  <si>
    <t xml:space="preserve">sat_party_address_rtmi__zip_code_format</t>
  </si>
  <si>
    <t xml:space="preserve">sat_party_address_rtmi_applied_date_not_after_load_date</t>
  </si>
  <si>
    <t xml:space="preserve">sat_party_address_rtmi_no_repeated_hash_diff</t>
  </si>
  <si>
    <t xml:space="preserve">sat_party_classification_rtmi__end_not_before_effective</t>
  </si>
  <si>
    <t xml:space="preserve">sat_party_classification_rtmi</t>
  </si>
  <si>
    <t xml:space="preserve">classification_end_date not earlier than classification_effective_date</t>
  </si>
  <si>
    <t xml:space="preserve">sat_party_classification_rtmi__party_hk_has_parent</t>
  </si>
  <si>
    <t xml:space="preserve">sat_party_classification_rtmi__wealth_code_in_observed_set</t>
  </si>
  <si>
    <t xml:space="preserve">wealth_code within the observed value set</t>
  </si>
  <si>
    <t xml:space="preserve">RTMI wealth band, always a letter with a plus or minus. Values seen in the 2026-10-28 bronze profile: A+, A-, B+, B-, C+, C-, D+, D-, E+, E-, and blank. Reported where a value falls outside the set. The row is loaded, not rejected. Returns each offending row's key.</t>
  </si>
  <si>
    <t xml:space="preserve">sat_party_classification_rtmi_applied_date_not_after_load_date</t>
  </si>
  <si>
    <t xml:space="preserve">sat_party_classification_rtmi_no_repeated_hash_diff</t>
  </si>
  <si>
    <t xml:space="preserve">sat_party_consent_rtmi__end_not_before_start</t>
  </si>
  <si>
    <t xml:space="preserve">sat_party_consent_rtmi</t>
  </si>
  <si>
    <t xml:space="preserve">consent_end_date not earlier than opt_out_date</t>
  </si>
  <si>
    <t xml:space="preserve">Reported where the consent end date is earlier than the opt-out date. The row is loaded, not rejected. Returns each offending row's key.</t>
  </si>
  <si>
    <t xml:space="preserve">sat_party_consent_rtmi__opt_out_date_plausible</t>
  </si>
  <si>
    <t xml:space="preserve">opt_out_date within a plausible range</t>
  </si>
  <si>
    <t xml:space="preserve">Reported where the opt-out date is before 1900-01-01 or in the future. Returns each offending row's key.</t>
  </si>
  <si>
    <t xml:space="preserve">sat_party_consent_rtmi__opt_out_has_reason</t>
  </si>
  <si>
    <t xml:space="preserve">Opt-out rows carry a reason</t>
  </si>
  <si>
    <t xml:space="preserve">A consent row exists only where opt_out_date has a value, so opt_out_reason is expected too. Reported where it is blank. Bronze showed 4 rows with a date and no reason. Returns each offending row's key.</t>
  </si>
  <si>
    <t xml:space="preserve">sat_party_consent_rtmi__opt_out_reason_in_observed_set</t>
  </si>
  <si>
    <t xml:space="preserve">opt_out_reason within the observed value set</t>
  </si>
  <si>
    <t xml:space="preserve">RTMI opt-out reasons. The source spells the same reason several ways, including one typo, and conforming them is business vault work, so this set only detects new wording. Values seen in the 2026-10-28 bronze profile: Opt-In State - Ins. Only, Requested, CA_BOTH_COMPANY_TYPES, CA - Both Company Types, CA_COMPANIES_WE_OWN, CA_OTHER_COMPANIES, CA - Other Companies, CA - Companies We Own, REQUESTED, CA - Other Comanies, Deceased, Other, Non-Member, and blank. Reported where a value falls outside the set. The row is loaded, not rejected. Returns each offending row's key.</t>
  </si>
  <si>
    <t xml:space="preserve">sat_party_consent_rtmi__party_hk_has_parent</t>
  </si>
  <si>
    <t xml:space="preserve">sat_party_consent_rtmi_applied_date_not_after_load_date</t>
  </si>
  <si>
    <t xml:space="preserve">sat_party_consent_rtmi_no_repeated_hash_diff</t>
  </si>
  <si>
    <t xml:space="preserve">sat_party_identifier_iris__party_identifier_hk_has_parent</t>
  </si>
  <si>
    <t xml:space="preserve">sat_party_identifier_iris</t>
  </si>
  <si>
    <t xml:space="preserve">sat_party_identifier_iris_applied_date_not_after_load_date</t>
  </si>
  <si>
    <t xml:space="preserve">sat_party_identifier_iris_masked_value_format</t>
  </si>
  <si>
    <t xml:space="preserve">Masked SSN is four digits</t>
  </si>
  <si>
    <t xml:space="preserve">identifier_masked_value holds exactly four digits where present. Returns each offending row's key.</t>
  </si>
  <si>
    <t xml:space="preserve">sat_party_identifier_iris_no_repeated_hash_diff</t>
  </si>
  <si>
    <t xml:space="preserve">sat_party_identity_iris__party_hk_has_parent</t>
  </si>
  <si>
    <t xml:space="preserve">sat_party_identity_iris</t>
  </si>
  <si>
    <t xml:space="preserve">sat_party_identity_iris_applied_date_not_after_load_date</t>
  </si>
  <si>
    <t xml:space="preserve">sat_party_identity_iris_no_repeated_hash_diff</t>
  </si>
  <si>
    <t xml:space="preserve">sat_party_identity_rtmi__party_hk_has_parent</t>
  </si>
  <si>
    <t xml:space="preserve">sat_party_identity_rtmi</t>
  </si>
  <si>
    <t xml:space="preserve">sat_party_identity_rtmi_applied_date_not_after_load_date</t>
  </si>
  <si>
    <t xml:space="preserve">sat_party_identity_rtmi_no_repeated_hash_diff</t>
  </si>
  <si>
    <t xml:space="preserve">sat_party_name_pii_iris__first_name_not_blank</t>
  </si>
  <si>
    <t xml:space="preserve">sat_party_name_pii_iris</t>
  </si>
  <si>
    <t xml:space="preserve">first_name is not blank</t>
  </si>
  <si>
    <t xml:space="preserve">Reported where first_name is null or only whitespace. Bronze RTMI holds blanks as empty strings and Iris as nulls. The row is loaded. Returns each offending row's key.</t>
  </si>
  <si>
    <t xml:space="preserve">sat_party_name_pii_iris__last_name_not_blank</t>
  </si>
  <si>
    <t xml:space="preserve">last_name is not blank</t>
  </si>
  <si>
    <t xml:space="preserve">Reported where last_name is null or only whitespace. Bronze RTMI holds blanks as empty strings and Iris as nulls. The row is loaded. Returns each offending row's key.</t>
  </si>
  <si>
    <t xml:space="preserve">sat_party_name_pii_iris__party_hk_has_parent</t>
  </si>
  <si>
    <t xml:space="preserve">sat_party_name_pii_iris_applied_date_not_after_load_date</t>
  </si>
  <si>
    <t xml:space="preserve">sat_party_name_pii_iris_no_repeated_hash_diff</t>
  </si>
  <si>
    <t xml:space="preserve">sat_party_name_pii_rtmi__first_name_not_blank</t>
  </si>
  <si>
    <t xml:space="preserve">sat_party_name_pii_rtmi</t>
  </si>
  <si>
    <t xml:space="preserve">sat_party_name_pii_rtmi__last_name_not_blank</t>
  </si>
  <si>
    <t xml:space="preserve">sat_party_name_pii_rtmi__party_hk_has_parent</t>
  </si>
  <si>
    <t xml:space="preserve">sat_party_name_pii_rtmi_applied_date_not_after_load_date</t>
  </si>
  <si>
    <t xml:space="preserve">sat_party_name_pii_rtmi_no_repeated_hash_diff</t>
  </si>
  <si>
    <t xml:space="preserve">sat_party_person_pii_iris__birth_date_plausible</t>
  </si>
  <si>
    <t xml:space="preserve">sat_party_person_pii_iris</t>
  </si>
  <si>
    <t xml:space="preserve">birth_date within a plausible range</t>
  </si>
  <si>
    <t xml:space="preserve">Reported where the birth date is before 1900-01-01 or in the future. The 1900 floor is a proposal for Christine to confirm. Returns each offending row's key.</t>
  </si>
  <si>
    <t xml:space="preserve">sat_party_person_pii_iris__party_hk_has_parent</t>
  </si>
  <si>
    <t xml:space="preserve">sat_party_person_pii_iris_applied_date_not_after_load_date</t>
  </si>
  <si>
    <t xml:space="preserve">sat_party_person_pii_iris_no_repeated_hash_diff</t>
  </si>
  <si>
    <t xml:space="preserve">sat_party_person_pii_rtmi__date_of_birth_plausible</t>
  </si>
  <si>
    <t xml:space="preserve">sat_party_person_pii_rtmi</t>
  </si>
  <si>
    <t xml:space="preserve">date_of_birth within a plausible range</t>
  </si>
  <si>
    <t xml:space="preserve">sat_party_person_pii_rtmi__date_of_death_plausible</t>
  </si>
  <si>
    <t xml:space="preserve">date_of_death within a plausible range</t>
  </si>
  <si>
    <t xml:space="preserve">Reported where the date of death is before 1900-01-01 or in the future. Returns each offending row's key.</t>
  </si>
  <si>
    <t xml:space="preserve">sat_party_person_pii_rtmi__party_hk_has_parent</t>
  </si>
  <si>
    <t xml:space="preserve">sat_party_person_pii_rtmi_applied_date_not_after_load_date</t>
  </si>
  <si>
    <t xml:space="preserve">sat_party_person_pii_rtmi_no_repeated_hash_diff</t>
  </si>
  <si>
    <t xml:space="preserve">sat_party_person_rtmi__dob_indicator_matches_dob</t>
  </si>
  <si>
    <t xml:space="preserve">sat_party_person_rtmi</t>
  </si>
  <si>
    <t xml:space="preserve">dob_source_indicator present exactly when the birth date is</t>
  </si>
  <si>
    <t xml:space="preserve">Reported where dob_source_indicator is blank but date_of_birth is present, or the reverse, for the same party_hk and load_date. In the bronze profile both were empty on the same 1,167,855 rows. Returns each offending row's key.</t>
  </si>
  <si>
    <t xml:space="preserve">sat_party_person_rtmi__dob_source_indicator_in_observed_set</t>
  </si>
  <si>
    <t xml:space="preserve">dob_source_indicator within the observed value set</t>
  </si>
  <si>
    <t xml:space="preserve">RTMI birth date source codes. Values seen in the 2026-10-28 bronze profile: R, D, W, and blank. Reported where a value falls outside the set. The row is loaded, not rejected. Returns each offending row's key.</t>
  </si>
  <si>
    <t xml:space="preserve">sat_party_person_rtmi__gender_in_observed_set</t>
  </si>
  <si>
    <t xml:space="preserve">gender within the observed value set</t>
  </si>
  <si>
    <t xml:space="preserve">RTMI gender codes. Values seen in the 2026-10-28 bronze profile: M, F, U, N, and blank. Reported where a value falls outside the set. The row is loaded, not rejected. Returns each offending row's key.</t>
  </si>
  <si>
    <t xml:space="preserve">sat_party_person_rtmi__marital_status_in_observed_set</t>
  </si>
  <si>
    <t xml:space="preserve">marital_status within the observed value set</t>
  </si>
  <si>
    <t xml:space="preserve">RTMI marital status codes. About 3,800 bronze rows carried the digits 1 to 9 or N, which this rule reports. Values seen in the 2026-10-28 bronze profile: U, M, S, D, W, and blank. Reported where a value falls outside the set. The row is loaded, not rejected. Returns each offending row's key.</t>
  </si>
  <si>
    <t xml:space="preserve">sat_party_person_rtmi__party_hk_has_parent</t>
  </si>
  <si>
    <t xml:space="preserve">sat_party_person_rtmi_applied_date_not_after_load_date</t>
  </si>
  <si>
    <t xml:space="preserve">sat_party_person_rtmi_no_repeated_hash_diff</t>
  </si>
  <si>
    <t xml:space="preserve">sat_party_status_rtmi__date_of_death_plausible</t>
  </si>
  <si>
    <t xml:space="preserve">sat_party_status_rtmi</t>
  </si>
  <si>
    <t xml:space="preserve">sat_party_status_rtmi__deceased_has_death_date</t>
  </si>
  <si>
    <t xml:space="preserve">Deceased rows carry a date of death</t>
  </si>
  <si>
    <t xml:space="preserve">Reported where deceased_indicator is T and date_of_death is empty. so this rule is expected to report a large count until Bob explains it. The profile showed 485,151 of 1,165,131 T rows with no death date, and no row with a death date and an indicator other than T. Returns each offending row's key.</t>
  </si>
  <si>
    <t xml:space="preserve">sat_party_status_rtmi__deceased_indicator_in_observed_set</t>
  </si>
  <si>
    <t xml:space="preserve">deceased_indicator within the observed value set</t>
  </si>
  <si>
    <t xml:space="preserve">sat_party_status_rtmi__party_hk_has_parent</t>
  </si>
  <si>
    <t xml:space="preserve">sat_party_status_rtmi_applied_date_not_after_load_date</t>
  </si>
  <si>
    <t xml:space="preserve">sat_party_status_rtmi_no_repeated_hash_diff</t>
  </si>
  <si>
    <t xml:space="preserve">Ask who</t>
  </si>
  <si>
    <t xml:space="preserve">Question</t>
  </si>
  <si>
    <t xml:space="preserve">Why we are asking</t>
  </si>
  <si>
    <t xml:space="preserve">What goes wrong if unanswered</t>
  </si>
  <si>
    <t xml:space="preserve">Related</t>
  </si>
  <si>
    <t xml:space="preserve">Priority</t>
  </si>
  <si>
    <t xml:space="preserve">Answer / notes</t>
  </si>
  <si>
    <t xml:space="preserve">Bob</t>
  </si>
  <si>
    <t xml:space="preserve">Iris sends two address rows for one customer in one delivery with no address type. The Iris address satellite is keyed on party_hk plus load_date. How should the load key or choose between the two?</t>
  </si>
  <si>
    <t xml:space="preserve">20,705 pairs collide on the key. Without an answer the load either fails, drops an address, or keeps an arbitrary one.</t>
  </si>
  <si>
    <t xml:space="preserve">Silver Iris address data may be wrong or the load may fail.</t>
  </si>
  <si>
    <t xml:space="preserve">D71</t>
  </si>
  <si>
    <t xml:space="preserve">High</t>
  </si>
  <si>
    <t xml:space="preserve">Open</t>
  </si>
  <si>
    <t xml:space="preserve">Do the RTMI loads read only open rows (EndDate 9999 or later)?</t>
  </si>
  <si>
    <t xml:space="preserve">Bronze has 705,704 closed rows beside 78,683,030 open rows. Reading everything double-loads 477,197 members.</t>
  </si>
  <si>
    <t xml:space="preserve">Duplicate members with conflicting values in silver.</t>
  </si>
  <si>
    <t xml:space="preserve">What are the 4,202,506 thirteen-digit RTMI member numbers? Can they collide with Iris customer identifiers?</t>
  </si>
  <si>
    <t xml:space="preserve">They match the Iris identifier length. Only party_business_key_domain_code separates the two sources.</t>
  </si>
  <si>
    <t xml:space="preserve">Possible cross-source key collision.</t>
  </si>
  <si>
    <t xml:space="preserve">D73</t>
  </si>
  <si>
    <t xml:space="preserve">What is the SSN token format and range? Why do 17 Iris values start 1, 2, 5 or 6?</t>
  </si>
  <si>
    <t xml:space="preserve">Values start 8 or 9 almost everywhere. We need the true rule to write a fixed pattern check.</t>
  </si>
  <si>
    <t xml:space="preserve">SSN token rule stays a loose warning.</t>
  </si>
  <si>
    <t xml:space="preserve">D74</t>
  </si>
  <si>
    <t xml:space="preserve">Medium</t>
  </si>
  <si>
    <t xml:space="preserve">Which severity should data quality rules use, and when do they move from warning to critical (D26, D65)?</t>
  </si>
  <si>
    <t xml:space="preserve">New rules default to warning so they cannot stop a load. The team must decide which can.</t>
  </si>
  <si>
    <t xml:space="preserve">Rules never enforce anything.</t>
  </si>
  <si>
    <t xml:space="preserve">D26, D65</t>
  </si>
  <si>
    <t xml:space="preserve">Is the satellite rate of change profiled anywhere? Can we run a second profiling pass for it?</t>
  </si>
  <si>
    <t xml:space="preserve">The contract marks the rate-of-change as provisional. We have not profiled it.</t>
  </si>
  <si>
    <t xml:space="preserve">Hash-diff and change-rate rules rest on assumptions.</t>
  </si>
  <si>
    <t xml:space="preserve">Blocking question 5</t>
  </si>
  <si>
    <t xml:space="preserve">Which dev silver tables and which workspace can we run the new rule SQL against? Can I have Contributor access to lh_bronze?</t>
  </si>
  <si>
    <t xml:space="preserve">We have not run the new rules against real data. I only have read access, which blocked the notebook route.</t>
  </si>
  <si>
    <t xml:space="preserve">Rules are unproven until run.</t>
  </si>
  <si>
    <t xml:space="preserve">Access</t>
  </si>
  <si>
    <t xml:space="preserve">Are the objects named in the contract but absent from it going to be added? (Several objects are referenced but not defined.)</t>
  </si>
  <si>
    <t xml:space="preserve">The contract has 27 objects but refers to others. Rules cannot be written for missing objects.</t>
  </si>
  <si>
    <t xml:space="preserve">Coverage gap.</t>
  </si>
  <si>
    <t xml:space="preserve">Contract completeness</t>
  </si>
  <si>
    <t xml:space="preserve">The contract says StartDate is null on all Iris rows. It is populated on every row. Which is right?</t>
  </si>
  <si>
    <t xml:space="preserve">The contract text disagrees with the data.</t>
  </si>
  <si>
    <t xml:space="preserve">Wrong transform logic or documentation.</t>
  </si>
  <si>
    <t xml:space="preserve">Contract text</t>
  </si>
  <si>
    <t xml:space="preserve">ADDRESS_VALIDATION_DATE is 100% null in RTMI bronze. Is it expected to be populated?</t>
  </si>
  <si>
    <t xml:space="preserve">No rule can test an empty column.</t>
  </si>
  <si>
    <t xml:space="preserve">Dead column or a source gap.</t>
  </si>
  <si>
    <t xml:space="preserve">Mapping</t>
  </si>
  <si>
    <t xml:space="preserve">Low</t>
  </si>
  <si>
    <t xml:space="preserve">SUFFIX_NAME holds 198 distinct values in a 5-character column. Is that column mapped correctly?</t>
  </si>
  <si>
    <t xml:space="preserve">Looks like a mapping or truncation issue.</t>
  </si>
  <si>
    <t xml:space="preserve">Bad data in silver or silent truncation.</t>
  </si>
  <si>
    <t xml:space="preserve">Is Event_type PartyMerge (32 rows) a business event handled outside the raw vault (D34)?</t>
  </si>
  <si>
    <t xml:space="preserve">If it is a business event, it does not belong in a hard data quality rule.</t>
  </si>
  <si>
    <t xml:space="preserve">Rule overlaps business logic.</t>
  </si>
  <si>
    <t xml:space="preserve">D34</t>
  </si>
  <si>
    <t xml:space="preserve">Christine</t>
  </si>
  <si>
    <t xml:space="preserve">Are Canadian province and territory codes valid values for STATE? (The rule currently accepts US states, DC, territories, military codes, FM, MH, PW and Canadian codes.)</t>
  </si>
  <si>
    <t xml:space="preserve">Her call as Data Product Owner on what counts as valid.</t>
  </si>
  <si>
    <t xml:space="preserve">Valid Canadian addresses flagged, or invalid ones missed.</t>
  </si>
  <si>
    <t xml:space="preserve">STATE accepted-value rule</t>
  </si>
  <si>
    <t xml:space="preserve">Confirm each new rule is a hard data quality rule and not a business rule. Which should become critical?</t>
  </si>
  <si>
    <t xml:space="preserve">She set the rule that DQ rules here must be hard rules. The deceased and DOB rules touch business meaning.</t>
  </si>
  <si>
    <t xml:space="preserve">Rework if any rule is judged a business rule.</t>
  </si>
  <si>
    <t xml:space="preserve">Scope</t>
  </si>
  <si>
    <t xml:space="preserve">Opt-out reason spells one reason several ways. Should the raw vault accept all spellings, or should the source be asked to fix them?</t>
  </si>
  <si>
    <t xml:space="preserve">Conforming is business vault work; the accepted-value rule lists every spelling seen.</t>
  </si>
  <si>
    <t xml:space="preserve">Rule lists typos as valid.</t>
  </si>
  <si>
    <t xml:space="preserve">Opt-out reason rule</t>
  </si>
  <si>
    <t xml:space="preserve">Team</t>
  </si>
  <si>
    <t xml:space="preserve">Who reviews the pull request, and how is it linked to PBI 3586168?</t>
  </si>
  <si>
    <t xml:space="preserve">The PBI closes only after review and linkage.</t>
  </si>
  <si>
    <t xml:space="preserve">PBI cannot close.</t>
  </si>
  <si>
    <t xml:space="preserve">PR</t>
  </si>
  <si>
    <t xml:space="preserve">Yellow cells (Status and Answer) are yours to edit. Set Status to Answered or Closed. The Overview count of open questions updates from this column.</t>
  </si>
  <si>
    <t xml:space="preserve">Task</t>
  </si>
  <si>
    <t xml:space="preserve">Why</t>
  </si>
  <si>
    <t xml:space="preserve">Owner</t>
  </si>
  <si>
    <t xml:space="preserve">Send Q1 to Q4 (D71 to D74) to Bob</t>
  </si>
  <si>
    <t xml:space="preserve">Highest-impact: D71 and D72 can change the load design.</t>
  </si>
  <si>
    <t xml:space="preserve">Sai</t>
  </si>
  <si>
    <t xml:space="preserve">Ask Christine about Canadian state codes and which rules can become critical</t>
  </si>
  <si>
    <t xml:space="preserve">Scope and severity are hers to decide.</t>
  </si>
  <si>
    <t xml:space="preserve">Get access or a dev silver target to run the new rule SQL</t>
  </si>
  <si>
    <t xml:space="preserve">Rules are untested against data.</t>
  </si>
  <si>
    <t xml:space="preserve">Sai / Bob</t>
  </si>
  <si>
    <t xml:space="preserve">Review the 52 columns still without a rule</t>
  </si>
  <si>
    <t xml:space="preserve">Coverage gap from the lint.</t>
  </si>
  <si>
    <t xml:space="preserve">Sai / Claude</t>
  </si>
  <si>
    <t xml:space="preserve">Run the second profiling pass for satellite rate of change</t>
  </si>
  <si>
    <t xml:space="preserve">Blocking question 5.</t>
  </si>
  <si>
    <t xml:space="preserve">Update the issue log (Party_Core_Silver_Data_Contract_Issues) with D71 to D74 and the findings</t>
  </si>
  <si>
    <t xml:space="preserve">So the open items travel with the contract.</t>
  </si>
  <si>
    <t xml:space="preserve">Open the pull request linked to PBI 3586168</t>
  </si>
  <si>
    <t xml:space="preserve">Required to close the PBI.</t>
  </si>
  <si>
    <t xml:space="preserve">Fill the PBI acceptance criteria</t>
  </si>
  <si>
    <t xml:space="preserve">The PBI needs evidence of what was done.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</si>
</sst>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i val="true"/>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4"/>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35.0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3" t="s">
        <v>13</v>
      </c>
    </row>
    <row r="19" customFormat="false" ht="15" hidden="false" customHeight="false" outlineLevel="0" collapsed="false">
      <c r="A19" s="4" t="s">
        <v>14</v>
      </c>
      <c r="B19" s="4" t="n">
        <f aca="false">COUNTA('Rule Catalog'!A2:A1000)</f>
        <v>116</v>
      </c>
    </row>
    <row r="20" customFormat="false" ht="15" hidden="false" customHeight="false" outlineLevel="0" collapsed="false">
      <c r="A20" s="4" t="s">
        <v>15</v>
      </c>
      <c r="B20" s="4" t="n">
        <f aca="false">COUNTIF('Rule Catalog'!D2:D1000,"warning")</f>
        <v>116</v>
      </c>
    </row>
    <row r="21" customFormat="false" ht="15" hidden="false" customHeight="false" outlineLevel="0" collapsed="false">
      <c r="A21" s="4" t="s">
        <v>16</v>
      </c>
      <c r="B21" s="4" t="n">
        <f aca="false">COUNTIF('Rule Catalog'!D2:D1000,"critical")</f>
        <v>0</v>
      </c>
    </row>
    <row r="22" customFormat="false" ht="15" hidden="false" customHeight="false" outlineLevel="0" collapsed="false">
      <c r="A22" s="4" t="s">
        <v>17</v>
      </c>
      <c r="B22" s="4" t="n">
        <f aca="false">COUNT(Questions!A2:A1000)</f>
        <v>16</v>
      </c>
    </row>
    <row r="23" customFormat="false" ht="15" hidden="false" customHeight="false" outlineLevel="0" collapsed="false">
      <c r="A23" s="4" t="s">
        <v>18</v>
      </c>
      <c r="B23" s="4" t="n">
        <f aca="false">COUNTIF(Questions!H2:H1000,"Open")</f>
        <v>16</v>
      </c>
    </row>
    <row r="25" customFormat="false" ht="23.85" hidden="false" customHeight="false" outlineLevel="0" collapsed="false">
      <c r="A25"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4" min="3" style="0" width="60"/>
    <col collapsed="false" customWidth="true" hidden="false" outlineLevel="0" max="5" min="5" style="0" width="36"/>
    <col collapsed="false" customWidth="true" hidden="false" outlineLevel="0" max="6" min="6" style="0" width="18"/>
  </cols>
  <sheetData>
    <row r="1" customFormat="false" ht="15" hidden="false" customHeight="false" outlineLevel="0" collapsed="false">
      <c r="A1" s="6" t="s">
        <v>20</v>
      </c>
      <c r="B1" s="6" t="s">
        <v>21</v>
      </c>
      <c r="C1" s="6" t="s">
        <v>22</v>
      </c>
      <c r="D1" s="6" t="s">
        <v>23</v>
      </c>
      <c r="E1" s="6" t="s">
        <v>24</v>
      </c>
      <c r="F1" s="6" t="s">
        <v>25</v>
      </c>
    </row>
    <row r="2" customFormat="false" ht="35.05" hidden="false" customHeight="false" outlineLevel="0" collapsed="false">
      <c r="A2" s="7" t="s">
        <v>26</v>
      </c>
      <c r="B2" s="7" t="s">
        <v>27</v>
      </c>
      <c r="C2" s="7" t="s">
        <v>28</v>
      </c>
      <c r="D2" s="7" t="s">
        <v>29</v>
      </c>
      <c r="E2" s="7" t="s">
        <v>30</v>
      </c>
      <c r="F2" s="7" t="s">
        <v>31</v>
      </c>
    </row>
    <row r="3" customFormat="false" ht="35.05" hidden="false" customHeight="false" outlineLevel="0" collapsed="false">
      <c r="A3" s="7" t="s">
        <v>32</v>
      </c>
      <c r="B3" s="7" t="s">
        <v>33</v>
      </c>
      <c r="C3" s="7" t="s">
        <v>34</v>
      </c>
      <c r="D3" s="7" t="s">
        <v>35</v>
      </c>
      <c r="E3" s="7" t="s">
        <v>36</v>
      </c>
      <c r="F3" s="7" t="s">
        <v>31</v>
      </c>
    </row>
    <row r="4" customFormat="false" ht="35.05" hidden="false" customHeight="false" outlineLevel="0" collapsed="false">
      <c r="A4" s="7" t="s">
        <v>37</v>
      </c>
      <c r="B4" s="7" t="s">
        <v>38</v>
      </c>
      <c r="C4" s="7" t="s">
        <v>39</v>
      </c>
      <c r="D4" s="7" t="s">
        <v>40</v>
      </c>
      <c r="E4" s="7" t="s">
        <v>41</v>
      </c>
      <c r="F4" s="7" t="s">
        <v>31</v>
      </c>
    </row>
    <row r="5" customFormat="false" ht="46.25" hidden="false" customHeight="false" outlineLevel="0" collapsed="false">
      <c r="A5" s="7" t="s">
        <v>42</v>
      </c>
      <c r="B5" s="7" t="s">
        <v>43</v>
      </c>
      <c r="C5" s="7" t="s">
        <v>44</v>
      </c>
      <c r="D5" s="7" t="s">
        <v>45</v>
      </c>
      <c r="E5" s="7" t="s">
        <v>46</v>
      </c>
      <c r="F5" s="7" t="s">
        <v>31</v>
      </c>
    </row>
    <row r="6" customFormat="false" ht="46.25" hidden="false" customHeight="false" outlineLevel="0" collapsed="false">
      <c r="A6" s="7" t="s">
        <v>47</v>
      </c>
      <c r="B6" s="7" t="s">
        <v>48</v>
      </c>
      <c r="C6" s="7" t="s">
        <v>49</v>
      </c>
      <c r="D6" s="7" t="s">
        <v>50</v>
      </c>
      <c r="E6" s="7" t="s">
        <v>51</v>
      </c>
      <c r="F6" s="7" t="s">
        <v>31</v>
      </c>
    </row>
    <row r="7" customFormat="false" ht="35.05" hidden="false" customHeight="false" outlineLevel="0" collapsed="false">
      <c r="A7" s="7" t="s">
        <v>52</v>
      </c>
      <c r="B7" s="7" t="s">
        <v>53</v>
      </c>
      <c r="C7" s="7" t="s">
        <v>54</v>
      </c>
      <c r="D7" s="7" t="s">
        <v>55</v>
      </c>
      <c r="E7" s="7" t="s">
        <v>56</v>
      </c>
      <c r="F7" s="7" t="s">
        <v>31</v>
      </c>
    </row>
    <row r="8" customFormat="false" ht="35.05" hidden="false" customHeight="false" outlineLevel="0" collapsed="false">
      <c r="A8" s="7" t="s">
        <v>57</v>
      </c>
      <c r="B8" s="7" t="s">
        <v>58</v>
      </c>
      <c r="C8" s="7" t="s">
        <v>59</v>
      </c>
      <c r="D8" s="7" t="s">
        <v>60</v>
      </c>
      <c r="E8" s="7" t="s">
        <v>61</v>
      </c>
      <c r="F8" s="7" t="s">
        <v>31</v>
      </c>
    </row>
    <row r="9" customFormat="false" ht="35.05" hidden="false" customHeight="false" outlineLevel="0" collapsed="false">
      <c r="A9" s="7" t="s">
        <v>62</v>
      </c>
      <c r="B9" s="7" t="s">
        <v>63</v>
      </c>
      <c r="C9" s="7" t="s">
        <v>64</v>
      </c>
      <c r="D9" s="7" t="s">
        <v>65</v>
      </c>
      <c r="E9" s="7" t="s">
        <v>66</v>
      </c>
      <c r="F9" s="7" t="s">
        <v>67</v>
      </c>
    </row>
    <row r="10" customFormat="false" ht="23.85" hidden="false" customHeight="false" outlineLevel="0" collapsed="false">
      <c r="A10" s="7" t="s">
        <v>68</v>
      </c>
      <c r="B10" s="7" t="s">
        <v>69</v>
      </c>
      <c r="C10" s="7" t="s">
        <v>70</v>
      </c>
      <c r="D10" s="7" t="s">
        <v>71</v>
      </c>
      <c r="E10" s="7" t="s">
        <v>72</v>
      </c>
      <c r="F10" s="7" t="s">
        <v>31</v>
      </c>
    </row>
    <row r="11" customFormat="false" ht="23.85" hidden="false" customHeight="false" outlineLevel="0" collapsed="false">
      <c r="A11" s="7" t="s">
        <v>73</v>
      </c>
      <c r="B11" s="7" t="s">
        <v>74</v>
      </c>
      <c r="C11" s="7" t="s">
        <v>75</v>
      </c>
      <c r="D11" s="7" t="s">
        <v>76</v>
      </c>
      <c r="E11" s="7" t="s">
        <v>77</v>
      </c>
      <c r="F11" s="7" t="s">
        <v>78</v>
      </c>
    </row>
  </sheetData>
  <autoFilter ref="A1:F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70"/>
    <col collapsed="false" customWidth="true" hidden="false" outlineLevel="0" max="4" min="4" style="0" width="56"/>
    <col collapsed="false" customWidth="true" hidden="false" outlineLevel="0" max="5" min="5" style="0" width="48"/>
    <col collapsed="false" customWidth="true" hidden="false" outlineLevel="0" max="6" min="6" style="0" width="22"/>
  </cols>
  <sheetData>
    <row r="1" customFormat="false" ht="15" hidden="false" customHeight="false" outlineLevel="0" collapsed="false">
      <c r="A1" s="6" t="s">
        <v>79</v>
      </c>
      <c r="B1" s="6" t="s">
        <v>80</v>
      </c>
      <c r="C1" s="6" t="s">
        <v>81</v>
      </c>
      <c r="D1" s="6" t="s">
        <v>82</v>
      </c>
      <c r="E1" s="6" t="s">
        <v>83</v>
      </c>
      <c r="F1" s="6" t="s">
        <v>84</v>
      </c>
    </row>
    <row r="2" customFormat="false" ht="23.85" hidden="false" customHeight="false" outlineLevel="0" collapsed="false">
      <c r="A2" s="7" t="s">
        <v>85</v>
      </c>
      <c r="B2" s="7" t="s">
        <v>86</v>
      </c>
      <c r="C2" s="7" t="s">
        <v>87</v>
      </c>
      <c r="D2" s="7" t="s">
        <v>88</v>
      </c>
      <c r="E2" s="7" t="s">
        <v>89</v>
      </c>
      <c r="F2" s="7" t="s">
        <v>90</v>
      </c>
    </row>
    <row r="3" customFormat="false" ht="23.85" hidden="false" customHeight="false" outlineLevel="0" collapsed="false">
      <c r="A3" s="7" t="s">
        <v>91</v>
      </c>
      <c r="B3" s="7" t="s">
        <v>92</v>
      </c>
      <c r="C3" s="7" t="s">
        <v>93</v>
      </c>
      <c r="D3" s="7" t="s">
        <v>94</v>
      </c>
      <c r="E3" s="7" t="s">
        <v>95</v>
      </c>
      <c r="F3" s="7" t="s">
        <v>96</v>
      </c>
    </row>
    <row r="4" customFormat="false" ht="35.05" hidden="false" customHeight="false" outlineLevel="0" collapsed="false">
      <c r="A4" s="7" t="s">
        <v>97</v>
      </c>
      <c r="B4" s="7" t="s">
        <v>98</v>
      </c>
      <c r="C4" s="7" t="s">
        <v>99</v>
      </c>
      <c r="D4" s="7" t="s">
        <v>100</v>
      </c>
      <c r="E4" s="7" t="s">
        <v>101</v>
      </c>
      <c r="F4" s="7" t="s">
        <v>102</v>
      </c>
    </row>
    <row r="5" customFormat="false" ht="15" hidden="false" customHeight="false" outlineLevel="0" collapsed="false">
      <c r="A5" s="7" t="s">
        <v>97</v>
      </c>
      <c r="B5" s="7" t="s">
        <v>103</v>
      </c>
      <c r="C5" s="7" t="s">
        <v>104</v>
      </c>
      <c r="D5" s="7" t="s">
        <v>105</v>
      </c>
      <c r="E5" s="7" t="s">
        <v>106</v>
      </c>
      <c r="F5" s="7" t="s">
        <v>107</v>
      </c>
    </row>
    <row r="6" customFormat="false" ht="15" hidden="false" customHeight="false" outlineLevel="0" collapsed="false">
      <c r="A6" s="7" t="s">
        <v>85</v>
      </c>
      <c r="B6" s="7" t="s">
        <v>108</v>
      </c>
      <c r="C6" s="7" t="s">
        <v>109</v>
      </c>
      <c r="D6" s="7" t="s">
        <v>110</v>
      </c>
      <c r="E6" s="7" t="s">
        <v>66</v>
      </c>
      <c r="F6" s="7" t="s">
        <v>111</v>
      </c>
    </row>
    <row r="7" customFormat="false" ht="23.85" hidden="false" customHeight="false" outlineLevel="0" collapsed="false">
      <c r="A7" s="7" t="s">
        <v>85</v>
      </c>
      <c r="B7" s="7" t="s">
        <v>112</v>
      </c>
      <c r="C7" s="7" t="s">
        <v>113</v>
      </c>
      <c r="D7" s="7" t="s">
        <v>114</v>
      </c>
      <c r="E7" s="7" t="s">
        <v>115</v>
      </c>
      <c r="F7" s="7" t="s">
        <v>102</v>
      </c>
    </row>
    <row r="8" customFormat="false" ht="23.85" hidden="false" customHeight="false" outlineLevel="0" collapsed="false">
      <c r="A8" s="7" t="s">
        <v>97</v>
      </c>
      <c r="B8" s="7" t="s">
        <v>116</v>
      </c>
      <c r="C8" s="7" t="s">
        <v>117</v>
      </c>
      <c r="D8" s="7" t="s">
        <v>118</v>
      </c>
      <c r="E8" s="7" t="s">
        <v>119</v>
      </c>
      <c r="F8" s="7" t="s">
        <v>120</v>
      </c>
    </row>
    <row r="9" customFormat="false" ht="23.85" hidden="false" customHeight="false" outlineLevel="0" collapsed="false">
      <c r="A9" s="7" t="s">
        <v>85</v>
      </c>
      <c r="B9" s="7" t="s">
        <v>121</v>
      </c>
      <c r="C9" s="7" t="s">
        <v>122</v>
      </c>
      <c r="D9" s="7" t="s">
        <v>123</v>
      </c>
      <c r="E9" s="7" t="s">
        <v>124</v>
      </c>
      <c r="F9" s="7" t="s">
        <v>120</v>
      </c>
    </row>
    <row r="10" customFormat="false" ht="23.85" hidden="false" customHeight="false" outlineLevel="0" collapsed="false">
      <c r="A10" s="7" t="s">
        <v>85</v>
      </c>
      <c r="B10" s="7" t="s">
        <v>125</v>
      </c>
      <c r="C10" s="7" t="s">
        <v>126</v>
      </c>
      <c r="D10" s="7" t="s">
        <v>127</v>
      </c>
      <c r="E10" s="7" t="s">
        <v>128</v>
      </c>
      <c r="F10" s="7" t="s">
        <v>129</v>
      </c>
    </row>
    <row r="11" customFormat="false" ht="23.85" hidden="false" customHeight="false" outlineLevel="0" collapsed="false">
      <c r="A11" s="7" t="s">
        <v>85</v>
      </c>
      <c r="B11" s="7" t="s">
        <v>130</v>
      </c>
      <c r="C11" s="7" t="s">
        <v>131</v>
      </c>
      <c r="D11" s="7" t="s">
        <v>132</v>
      </c>
      <c r="E11" s="7" t="s">
        <v>133</v>
      </c>
      <c r="F11" s="7" t="s">
        <v>134</v>
      </c>
    </row>
    <row r="12" customFormat="false" ht="23.85" hidden="false" customHeight="false" outlineLevel="0" collapsed="false">
      <c r="A12" s="7" t="s">
        <v>91</v>
      </c>
      <c r="B12" s="7" t="s">
        <v>135</v>
      </c>
      <c r="C12" s="7" t="s">
        <v>136</v>
      </c>
      <c r="D12" s="7" t="s">
        <v>137</v>
      </c>
      <c r="E12" s="7" t="s">
        <v>138</v>
      </c>
      <c r="F12" s="7" t="s">
        <v>134</v>
      </c>
    </row>
    <row r="13" customFormat="false" ht="23.85" hidden="false" customHeight="false" outlineLevel="0" collapsed="false">
      <c r="A13" s="7" t="s">
        <v>97</v>
      </c>
      <c r="B13" s="7" t="s">
        <v>139</v>
      </c>
      <c r="C13" s="7" t="s">
        <v>140</v>
      </c>
      <c r="D13" s="7" t="s">
        <v>141</v>
      </c>
      <c r="E13" s="7" t="s">
        <v>142</v>
      </c>
      <c r="F13" s="7" t="s">
        <v>143</v>
      </c>
    </row>
    <row r="14" customFormat="false" ht="15" hidden="false" customHeight="false" outlineLevel="0" collapsed="false">
      <c r="A14" s="7" t="s">
        <v>85</v>
      </c>
      <c r="B14" s="7" t="s">
        <v>144</v>
      </c>
      <c r="C14" s="7" t="s">
        <v>145</v>
      </c>
      <c r="D14" s="7" t="s">
        <v>146</v>
      </c>
      <c r="E14" s="7" t="s">
        <v>147</v>
      </c>
      <c r="F14" s="7" t="s">
        <v>143</v>
      </c>
    </row>
    <row r="15" customFormat="false" ht="15" hidden="false" customHeight="false" outlineLevel="0" collapsed="false">
      <c r="A15" s="7" t="s">
        <v>97</v>
      </c>
      <c r="B15" s="7" t="s">
        <v>148</v>
      </c>
      <c r="C15" s="7" t="s">
        <v>149</v>
      </c>
      <c r="D15" s="7" t="s">
        <v>150</v>
      </c>
      <c r="E15" s="7" t="s">
        <v>151</v>
      </c>
      <c r="F15" s="7" t="s">
        <v>120</v>
      </c>
    </row>
    <row r="16" customFormat="false" ht="15" hidden="false" customHeight="false" outlineLevel="0" collapsed="false">
      <c r="A16" s="7" t="s">
        <v>85</v>
      </c>
      <c r="B16" s="7" t="s">
        <v>152</v>
      </c>
      <c r="C16" s="7" t="s">
        <v>153</v>
      </c>
      <c r="D16" s="7" t="s">
        <v>154</v>
      </c>
      <c r="E16" s="7" t="s">
        <v>155</v>
      </c>
      <c r="F16" s="7" t="s">
        <v>143</v>
      </c>
    </row>
  </sheetData>
  <autoFilter ref="A1:F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32"/>
    <col collapsed="false" customWidth="true" hidden="false" outlineLevel="0" max="3" min="3" style="0" width="44"/>
    <col collapsed="false" customWidth="true" hidden="false" outlineLevel="0" max="4" min="4" style="0" width="11"/>
    <col collapsed="false" customWidth="true" hidden="false" outlineLevel="0" max="5" min="5" style="0" width="15"/>
    <col collapsed="false" customWidth="true" hidden="false" outlineLevel="0" max="6" min="6" style="0" width="100"/>
  </cols>
  <sheetData>
    <row r="1" customFormat="false" ht="15" hidden="false" customHeight="false" outlineLevel="0" collapsed="false">
      <c r="A1" s="6" t="s">
        <v>156</v>
      </c>
      <c r="B1" s="6" t="s">
        <v>157</v>
      </c>
      <c r="C1" s="6" t="s">
        <v>158</v>
      </c>
      <c r="D1" s="6" t="s">
        <v>159</v>
      </c>
      <c r="E1" s="6" t="s">
        <v>160</v>
      </c>
      <c r="F1" s="6" t="s">
        <v>161</v>
      </c>
    </row>
    <row r="2" customFormat="false" ht="23.85" hidden="false" customHeight="false" outlineLevel="0" collapsed="false">
      <c r="A2" s="7" t="s">
        <v>162</v>
      </c>
      <c r="B2" s="7" t="s">
        <v>163</v>
      </c>
      <c r="C2" s="7" t="s">
        <v>164</v>
      </c>
      <c r="D2" s="7" t="s">
        <v>165</v>
      </c>
      <c r="E2" s="7" t="s">
        <v>166</v>
      </c>
      <c r="F2" s="7" t="s">
        <v>167</v>
      </c>
    </row>
    <row r="3" customFormat="false" ht="23.85" hidden="false" customHeight="false" outlineLevel="0" collapsed="false">
      <c r="A3" s="7" t="s">
        <v>168</v>
      </c>
      <c r="B3" s="7" t="s">
        <v>163</v>
      </c>
      <c r="C3" s="7" t="s">
        <v>169</v>
      </c>
      <c r="D3" s="7" t="s">
        <v>165</v>
      </c>
      <c r="E3" s="7" t="s">
        <v>170</v>
      </c>
      <c r="F3" s="7" t="s">
        <v>171</v>
      </c>
    </row>
    <row r="4" customFormat="false" ht="23.85" hidden="false" customHeight="false" outlineLevel="0" collapsed="false">
      <c r="A4" s="7" t="s">
        <v>172</v>
      </c>
      <c r="B4" s="7" t="s">
        <v>163</v>
      </c>
      <c r="C4" s="7" t="s">
        <v>173</v>
      </c>
      <c r="D4" s="7" t="s">
        <v>165</v>
      </c>
      <c r="E4" s="7" t="s">
        <v>174</v>
      </c>
      <c r="F4" s="7" t="s">
        <v>175</v>
      </c>
    </row>
    <row r="5" customFormat="false" ht="23.85" hidden="false" customHeight="false" outlineLevel="0" collapsed="false">
      <c r="A5" s="7" t="s">
        <v>176</v>
      </c>
      <c r="B5" s="7" t="s">
        <v>177</v>
      </c>
      <c r="C5" s="7" t="s">
        <v>178</v>
      </c>
      <c r="D5" s="7" t="s">
        <v>165</v>
      </c>
      <c r="E5" s="7" t="s">
        <v>170</v>
      </c>
      <c r="F5" s="7" t="s">
        <v>179</v>
      </c>
    </row>
    <row r="6" customFormat="false" ht="23.85" hidden="false" customHeight="false" outlineLevel="0" collapsed="false">
      <c r="A6" s="7" t="s">
        <v>180</v>
      </c>
      <c r="B6" s="7" t="s">
        <v>177</v>
      </c>
      <c r="C6" s="7" t="s">
        <v>164</v>
      </c>
      <c r="D6" s="7" t="s">
        <v>165</v>
      </c>
      <c r="E6" s="7" t="s">
        <v>166</v>
      </c>
      <c r="F6" s="7" t="s">
        <v>167</v>
      </c>
    </row>
    <row r="7" customFormat="false" ht="23.85" hidden="false" customHeight="false" outlineLevel="0" collapsed="false">
      <c r="A7" s="7" t="s">
        <v>181</v>
      </c>
      <c r="B7" s="7" t="s">
        <v>177</v>
      </c>
      <c r="C7" s="7" t="s">
        <v>169</v>
      </c>
      <c r="D7" s="7" t="s">
        <v>165</v>
      </c>
      <c r="E7" s="7" t="s">
        <v>170</v>
      </c>
      <c r="F7" s="7" t="s">
        <v>171</v>
      </c>
    </row>
    <row r="8" customFormat="false" ht="23.85" hidden="false" customHeight="false" outlineLevel="0" collapsed="false">
      <c r="A8" s="7" t="s">
        <v>182</v>
      </c>
      <c r="B8" s="7" t="s">
        <v>177</v>
      </c>
      <c r="C8" s="7" t="s">
        <v>173</v>
      </c>
      <c r="D8" s="7" t="s">
        <v>165</v>
      </c>
      <c r="E8" s="7" t="s">
        <v>174</v>
      </c>
      <c r="F8" s="7" t="s">
        <v>175</v>
      </c>
    </row>
    <row r="9" customFormat="false" ht="35.05" hidden="false" customHeight="false" outlineLevel="0" collapsed="false">
      <c r="A9" s="7" t="s">
        <v>183</v>
      </c>
      <c r="B9" s="7" t="s">
        <v>184</v>
      </c>
      <c r="C9" s="7" t="s">
        <v>185</v>
      </c>
      <c r="D9" s="7" t="s">
        <v>165</v>
      </c>
      <c r="E9" s="7" t="s">
        <v>186</v>
      </c>
      <c r="F9" s="7" t="s">
        <v>187</v>
      </c>
    </row>
    <row r="10" customFormat="false" ht="15" hidden="false" customHeight="false" outlineLevel="0" collapsed="false">
      <c r="A10" s="7" t="s">
        <v>188</v>
      </c>
      <c r="B10" s="7" t="s">
        <v>184</v>
      </c>
      <c r="C10" s="7" t="s">
        <v>189</v>
      </c>
      <c r="D10" s="7" t="s">
        <v>165</v>
      </c>
      <c r="E10" s="7" t="s">
        <v>190</v>
      </c>
      <c r="F10" s="7" t="s">
        <v>191</v>
      </c>
    </row>
    <row r="11" customFormat="false" ht="15" hidden="false" customHeight="false" outlineLevel="0" collapsed="false">
      <c r="A11" s="7" t="s">
        <v>192</v>
      </c>
      <c r="B11" s="7" t="s">
        <v>184</v>
      </c>
      <c r="C11" s="7" t="s">
        <v>193</v>
      </c>
      <c r="D11" s="7" t="s">
        <v>165</v>
      </c>
      <c r="E11" s="7" t="s">
        <v>190</v>
      </c>
      <c r="F11" s="7" t="s">
        <v>194</v>
      </c>
    </row>
    <row r="12" customFormat="false" ht="23.85" hidden="false" customHeight="false" outlineLevel="0" collapsed="false">
      <c r="A12" s="7" t="s">
        <v>195</v>
      </c>
      <c r="B12" s="7" t="s">
        <v>184</v>
      </c>
      <c r="C12" s="7" t="s">
        <v>196</v>
      </c>
      <c r="D12" s="7" t="s">
        <v>165</v>
      </c>
      <c r="E12" s="7" t="s">
        <v>170</v>
      </c>
      <c r="F12" s="7" t="s">
        <v>197</v>
      </c>
    </row>
    <row r="13" customFormat="false" ht="23.85" hidden="false" customHeight="false" outlineLevel="0" collapsed="false">
      <c r="A13" s="7" t="s">
        <v>198</v>
      </c>
      <c r="B13" s="7" t="s">
        <v>199</v>
      </c>
      <c r="C13" s="7" t="s">
        <v>200</v>
      </c>
      <c r="D13" s="7" t="s">
        <v>165</v>
      </c>
      <c r="E13" s="7" t="s">
        <v>170</v>
      </c>
      <c r="F13" s="7" t="s">
        <v>201</v>
      </c>
    </row>
    <row r="14" customFormat="false" ht="15" hidden="false" customHeight="false" outlineLevel="0" collapsed="false">
      <c r="A14" s="7" t="s">
        <v>202</v>
      </c>
      <c r="B14" s="7" t="s">
        <v>199</v>
      </c>
      <c r="C14" s="7" t="s">
        <v>203</v>
      </c>
      <c r="D14" s="7" t="s">
        <v>165</v>
      </c>
      <c r="E14" s="7" t="s">
        <v>190</v>
      </c>
      <c r="F14" s="7" t="s">
        <v>204</v>
      </c>
    </row>
    <row r="15" customFormat="false" ht="46.25" hidden="false" customHeight="false" outlineLevel="0" collapsed="false">
      <c r="A15" s="7" t="s">
        <v>205</v>
      </c>
      <c r="B15" s="7" t="s">
        <v>199</v>
      </c>
      <c r="C15" s="7" t="s">
        <v>206</v>
      </c>
      <c r="D15" s="7" t="s">
        <v>165</v>
      </c>
      <c r="E15" s="7" t="s">
        <v>186</v>
      </c>
      <c r="F15" s="7" t="s">
        <v>207</v>
      </c>
    </row>
    <row r="16" customFormat="false" ht="15" hidden="false" customHeight="false" outlineLevel="0" collapsed="false">
      <c r="A16" s="7" t="s">
        <v>208</v>
      </c>
      <c r="B16" s="7" t="s">
        <v>199</v>
      </c>
      <c r="C16" s="7" t="s">
        <v>209</v>
      </c>
      <c r="D16" s="7" t="s">
        <v>165</v>
      </c>
      <c r="E16" s="7" t="s">
        <v>190</v>
      </c>
      <c r="F16" s="7" t="s">
        <v>210</v>
      </c>
    </row>
    <row r="17" customFormat="false" ht="15" hidden="false" customHeight="false" outlineLevel="0" collapsed="false">
      <c r="A17" s="7" t="s">
        <v>211</v>
      </c>
      <c r="B17" s="7" t="s">
        <v>212</v>
      </c>
      <c r="C17" s="7" t="s">
        <v>213</v>
      </c>
      <c r="D17" s="7" t="s">
        <v>165</v>
      </c>
      <c r="E17" s="7" t="s">
        <v>166</v>
      </c>
      <c r="F17" s="7" t="s">
        <v>214</v>
      </c>
    </row>
    <row r="18" customFormat="false" ht="15" hidden="false" customHeight="false" outlineLevel="0" collapsed="false">
      <c r="A18" s="7" t="s">
        <v>215</v>
      </c>
      <c r="B18" s="7" t="s">
        <v>212</v>
      </c>
      <c r="C18" s="7" t="s">
        <v>216</v>
      </c>
      <c r="D18" s="7" t="s">
        <v>165</v>
      </c>
      <c r="E18" s="7" t="s">
        <v>166</v>
      </c>
      <c r="F18" s="7" t="s">
        <v>217</v>
      </c>
    </row>
    <row r="19" customFormat="false" ht="23.85" hidden="false" customHeight="false" outlineLevel="0" collapsed="false">
      <c r="A19" s="7" t="s">
        <v>218</v>
      </c>
      <c r="B19" s="7" t="s">
        <v>212</v>
      </c>
      <c r="C19" s="7" t="s">
        <v>219</v>
      </c>
      <c r="D19" s="7" t="s">
        <v>165</v>
      </c>
      <c r="E19" s="7" t="s">
        <v>170</v>
      </c>
      <c r="F19" s="7" t="s">
        <v>220</v>
      </c>
    </row>
    <row r="20" customFormat="false" ht="15" hidden="false" customHeight="false" outlineLevel="0" collapsed="false">
      <c r="A20" s="7" t="s">
        <v>221</v>
      </c>
      <c r="B20" s="7" t="s">
        <v>222</v>
      </c>
      <c r="C20" s="7" t="s">
        <v>213</v>
      </c>
      <c r="D20" s="7" t="s">
        <v>165</v>
      </c>
      <c r="E20" s="7" t="s">
        <v>166</v>
      </c>
      <c r="F20" s="7" t="s">
        <v>214</v>
      </c>
    </row>
    <row r="21" customFormat="false" ht="15" hidden="false" customHeight="false" outlineLevel="0" collapsed="false">
      <c r="A21" s="7" t="s">
        <v>223</v>
      </c>
      <c r="B21" s="7" t="s">
        <v>222</v>
      </c>
      <c r="C21" s="7" t="s">
        <v>216</v>
      </c>
      <c r="D21" s="7" t="s">
        <v>165</v>
      </c>
      <c r="E21" s="7" t="s">
        <v>166</v>
      </c>
      <c r="F21" s="7" t="s">
        <v>217</v>
      </c>
    </row>
    <row r="22" customFormat="false" ht="23.85" hidden="false" customHeight="false" outlineLevel="0" collapsed="false">
      <c r="A22" s="7" t="s">
        <v>224</v>
      </c>
      <c r="B22" s="7" t="s">
        <v>222</v>
      </c>
      <c r="C22" s="7" t="s">
        <v>225</v>
      </c>
      <c r="D22" s="7" t="s">
        <v>165</v>
      </c>
      <c r="E22" s="7" t="s">
        <v>170</v>
      </c>
      <c r="F22" s="7" t="s">
        <v>226</v>
      </c>
    </row>
    <row r="23" customFormat="false" ht="15" hidden="false" customHeight="false" outlineLevel="0" collapsed="false">
      <c r="A23" s="7" t="s">
        <v>227</v>
      </c>
      <c r="B23" s="7" t="s">
        <v>228</v>
      </c>
      <c r="C23" s="7" t="s">
        <v>229</v>
      </c>
      <c r="D23" s="7" t="s">
        <v>165</v>
      </c>
      <c r="E23" s="7" t="s">
        <v>190</v>
      </c>
      <c r="F23" s="7" t="s">
        <v>230</v>
      </c>
    </row>
    <row r="24" customFormat="false" ht="23.85" hidden="false" customHeight="false" outlineLevel="0" collapsed="false">
      <c r="A24" s="7" t="s">
        <v>231</v>
      </c>
      <c r="B24" s="7" t="s">
        <v>228</v>
      </c>
      <c r="C24" s="7" t="s">
        <v>232</v>
      </c>
      <c r="D24" s="7" t="s">
        <v>165</v>
      </c>
      <c r="E24" s="7" t="s">
        <v>170</v>
      </c>
      <c r="F24" s="7" t="s">
        <v>233</v>
      </c>
    </row>
    <row r="25" customFormat="false" ht="15" hidden="false" customHeight="false" outlineLevel="0" collapsed="false">
      <c r="A25" s="7" t="s">
        <v>234</v>
      </c>
      <c r="B25" s="7" t="s">
        <v>228</v>
      </c>
      <c r="C25" s="7" t="s">
        <v>213</v>
      </c>
      <c r="D25" s="7" t="s">
        <v>165</v>
      </c>
      <c r="E25" s="7" t="s">
        <v>166</v>
      </c>
      <c r="F25" s="7" t="s">
        <v>214</v>
      </c>
    </row>
    <row r="26" customFormat="false" ht="23.85" hidden="false" customHeight="false" outlineLevel="0" collapsed="false">
      <c r="A26" s="7" t="s">
        <v>235</v>
      </c>
      <c r="B26" s="7" t="s">
        <v>228</v>
      </c>
      <c r="C26" s="7" t="s">
        <v>169</v>
      </c>
      <c r="D26" s="7" t="s">
        <v>165</v>
      </c>
      <c r="E26" s="7" t="s">
        <v>170</v>
      </c>
      <c r="F26" s="7" t="s">
        <v>171</v>
      </c>
    </row>
    <row r="27" customFormat="false" ht="23.85" hidden="false" customHeight="false" outlineLevel="0" collapsed="false">
      <c r="A27" s="7" t="s">
        <v>236</v>
      </c>
      <c r="B27" s="7" t="s">
        <v>228</v>
      </c>
      <c r="C27" s="7" t="s">
        <v>173</v>
      </c>
      <c r="D27" s="7" t="s">
        <v>165</v>
      </c>
      <c r="E27" s="7" t="s">
        <v>174</v>
      </c>
      <c r="F27" s="7" t="s">
        <v>175</v>
      </c>
    </row>
    <row r="28" customFormat="false" ht="35.05" hidden="false" customHeight="false" outlineLevel="0" collapsed="false">
      <c r="A28" s="7" t="s">
        <v>237</v>
      </c>
      <c r="B28" s="7" t="s">
        <v>238</v>
      </c>
      <c r="C28" s="7" t="s">
        <v>239</v>
      </c>
      <c r="D28" s="7" t="s">
        <v>165</v>
      </c>
      <c r="E28" s="7" t="s">
        <v>186</v>
      </c>
      <c r="F28" s="7" t="s">
        <v>240</v>
      </c>
    </row>
    <row r="29" customFormat="false" ht="15" hidden="false" customHeight="false" outlineLevel="0" collapsed="false">
      <c r="A29" s="7" t="s">
        <v>241</v>
      </c>
      <c r="B29" s="7" t="s">
        <v>238</v>
      </c>
      <c r="C29" s="7" t="s">
        <v>216</v>
      </c>
      <c r="D29" s="7" t="s">
        <v>165</v>
      </c>
      <c r="E29" s="7" t="s">
        <v>166</v>
      </c>
      <c r="F29" s="7" t="s">
        <v>217</v>
      </c>
    </row>
    <row r="30" customFormat="false" ht="23.85" hidden="false" customHeight="false" outlineLevel="0" collapsed="false">
      <c r="A30" s="7" t="s">
        <v>242</v>
      </c>
      <c r="B30" s="7" t="s">
        <v>243</v>
      </c>
      <c r="C30" s="7" t="s">
        <v>244</v>
      </c>
      <c r="D30" s="7" t="s">
        <v>165</v>
      </c>
      <c r="E30" s="7" t="s">
        <v>186</v>
      </c>
      <c r="F30" s="7" t="s">
        <v>245</v>
      </c>
    </row>
    <row r="31" customFormat="false" ht="15" hidden="false" customHeight="false" outlineLevel="0" collapsed="false">
      <c r="A31" s="7" t="s">
        <v>246</v>
      </c>
      <c r="B31" s="7" t="s">
        <v>243</v>
      </c>
      <c r="C31" s="7" t="s">
        <v>216</v>
      </c>
      <c r="D31" s="7" t="s">
        <v>165</v>
      </c>
      <c r="E31" s="7" t="s">
        <v>166</v>
      </c>
      <c r="F31" s="7" t="s">
        <v>217</v>
      </c>
    </row>
    <row r="32" customFormat="false" ht="35.05" hidden="false" customHeight="false" outlineLevel="0" collapsed="false">
      <c r="A32" s="7" t="s">
        <v>247</v>
      </c>
      <c r="B32" s="7" t="s">
        <v>248</v>
      </c>
      <c r="C32" s="7" t="s">
        <v>239</v>
      </c>
      <c r="D32" s="7" t="s">
        <v>165</v>
      </c>
      <c r="E32" s="7" t="s">
        <v>186</v>
      </c>
      <c r="F32" s="7" t="s">
        <v>240</v>
      </c>
    </row>
    <row r="33" customFormat="false" ht="15" hidden="false" customHeight="false" outlineLevel="0" collapsed="false">
      <c r="A33" s="7" t="s">
        <v>249</v>
      </c>
      <c r="B33" s="7" t="s">
        <v>248</v>
      </c>
      <c r="C33" s="7" t="s">
        <v>213</v>
      </c>
      <c r="D33" s="7" t="s">
        <v>165</v>
      </c>
      <c r="E33" s="7" t="s">
        <v>166</v>
      </c>
      <c r="F33" s="7" t="s">
        <v>214</v>
      </c>
    </row>
    <row r="34" customFormat="false" ht="23.85" hidden="false" customHeight="false" outlineLevel="0" collapsed="false">
      <c r="A34" s="7" t="s">
        <v>250</v>
      </c>
      <c r="B34" s="7" t="s">
        <v>251</v>
      </c>
      <c r="C34" s="7" t="s">
        <v>244</v>
      </c>
      <c r="D34" s="7" t="s">
        <v>165</v>
      </c>
      <c r="E34" s="7" t="s">
        <v>186</v>
      </c>
      <c r="F34" s="7" t="s">
        <v>245</v>
      </c>
    </row>
    <row r="35" customFormat="false" ht="15" hidden="false" customHeight="false" outlineLevel="0" collapsed="false">
      <c r="A35" s="7" t="s">
        <v>252</v>
      </c>
      <c r="B35" s="7" t="s">
        <v>251</v>
      </c>
      <c r="C35" s="7" t="s">
        <v>213</v>
      </c>
      <c r="D35" s="7" t="s">
        <v>165</v>
      </c>
      <c r="E35" s="7" t="s">
        <v>166</v>
      </c>
      <c r="F35" s="7" t="s">
        <v>214</v>
      </c>
    </row>
    <row r="36" customFormat="false" ht="23.85" hidden="false" customHeight="false" outlineLevel="0" collapsed="false">
      <c r="A36" s="7" t="s">
        <v>253</v>
      </c>
      <c r="B36" s="7" t="s">
        <v>254</v>
      </c>
      <c r="C36" s="7" t="s">
        <v>255</v>
      </c>
      <c r="D36" s="7" t="s">
        <v>165</v>
      </c>
      <c r="E36" s="7" t="s">
        <v>170</v>
      </c>
      <c r="F36" s="7" t="s">
        <v>233</v>
      </c>
    </row>
    <row r="37" customFormat="false" ht="46.25" hidden="false" customHeight="false" outlineLevel="0" collapsed="false">
      <c r="A37" s="7" t="s">
        <v>256</v>
      </c>
      <c r="B37" s="7" t="s">
        <v>254</v>
      </c>
      <c r="C37" s="7" t="s">
        <v>257</v>
      </c>
      <c r="D37" s="7" t="s">
        <v>165</v>
      </c>
      <c r="E37" s="7" t="s">
        <v>174</v>
      </c>
      <c r="F37" s="7" t="s">
        <v>258</v>
      </c>
    </row>
    <row r="38" customFormat="false" ht="15" hidden="false" customHeight="false" outlineLevel="0" collapsed="false">
      <c r="A38" s="7" t="s">
        <v>259</v>
      </c>
      <c r="B38" s="7" t="s">
        <v>254</v>
      </c>
      <c r="C38" s="7" t="s">
        <v>213</v>
      </c>
      <c r="D38" s="7" t="s">
        <v>165</v>
      </c>
      <c r="E38" s="7" t="s">
        <v>166</v>
      </c>
      <c r="F38" s="7" t="s">
        <v>214</v>
      </c>
    </row>
    <row r="39" customFormat="false" ht="68.65" hidden="false" customHeight="false" outlineLevel="0" collapsed="false">
      <c r="A39" s="7" t="s">
        <v>260</v>
      </c>
      <c r="B39" s="7" t="s">
        <v>254</v>
      </c>
      <c r="C39" s="7" t="s">
        <v>261</v>
      </c>
      <c r="D39" s="7" t="s">
        <v>165</v>
      </c>
      <c r="E39" s="7" t="s">
        <v>186</v>
      </c>
      <c r="F39" s="7" t="s">
        <v>262</v>
      </c>
    </row>
    <row r="40" customFormat="false" ht="35.05" hidden="false" customHeight="false" outlineLevel="0" collapsed="false">
      <c r="A40" s="7" t="s">
        <v>263</v>
      </c>
      <c r="B40" s="7" t="s">
        <v>254</v>
      </c>
      <c r="C40" s="7" t="s">
        <v>264</v>
      </c>
      <c r="D40" s="7" t="s">
        <v>165</v>
      </c>
      <c r="E40" s="7" t="s">
        <v>186</v>
      </c>
      <c r="F40" s="7" t="s">
        <v>265</v>
      </c>
    </row>
    <row r="41" customFormat="false" ht="23.85" hidden="false" customHeight="false" outlineLevel="0" collapsed="false">
      <c r="A41" s="7" t="s">
        <v>266</v>
      </c>
      <c r="B41" s="7" t="s">
        <v>254</v>
      </c>
      <c r="C41" s="7" t="s">
        <v>169</v>
      </c>
      <c r="D41" s="7" t="s">
        <v>165</v>
      </c>
      <c r="E41" s="7" t="s">
        <v>170</v>
      </c>
      <c r="F41" s="7" t="s">
        <v>171</v>
      </c>
    </row>
    <row r="42" customFormat="false" ht="23.85" hidden="false" customHeight="false" outlineLevel="0" collapsed="false">
      <c r="A42" s="7" t="s">
        <v>267</v>
      </c>
      <c r="B42" s="7" t="s">
        <v>254</v>
      </c>
      <c r="C42" s="7" t="s">
        <v>173</v>
      </c>
      <c r="D42" s="7" t="s">
        <v>165</v>
      </c>
      <c r="E42" s="7" t="s">
        <v>174</v>
      </c>
      <c r="F42" s="7" t="s">
        <v>175</v>
      </c>
    </row>
    <row r="43" customFormat="false" ht="15" hidden="false" customHeight="false" outlineLevel="0" collapsed="false">
      <c r="A43" s="7" t="s">
        <v>268</v>
      </c>
      <c r="B43" s="7" t="s">
        <v>269</v>
      </c>
      <c r="C43" s="7" t="s">
        <v>213</v>
      </c>
      <c r="D43" s="7" t="s">
        <v>165</v>
      </c>
      <c r="E43" s="7" t="s">
        <v>166</v>
      </c>
      <c r="F43" s="7" t="s">
        <v>214</v>
      </c>
    </row>
    <row r="44" customFormat="false" ht="23.85" hidden="false" customHeight="false" outlineLevel="0" collapsed="false">
      <c r="A44" s="7" t="s">
        <v>270</v>
      </c>
      <c r="B44" s="7" t="s">
        <v>269</v>
      </c>
      <c r="C44" s="7" t="s">
        <v>169</v>
      </c>
      <c r="D44" s="7" t="s">
        <v>165</v>
      </c>
      <c r="E44" s="7" t="s">
        <v>170</v>
      </c>
      <c r="F44" s="7" t="s">
        <v>171</v>
      </c>
    </row>
    <row r="45" customFormat="false" ht="23.85" hidden="false" customHeight="false" outlineLevel="0" collapsed="false">
      <c r="A45" s="7" t="s">
        <v>271</v>
      </c>
      <c r="B45" s="7" t="s">
        <v>269</v>
      </c>
      <c r="C45" s="7" t="s">
        <v>173</v>
      </c>
      <c r="D45" s="7" t="s">
        <v>165</v>
      </c>
      <c r="E45" s="7" t="s">
        <v>174</v>
      </c>
      <c r="F45" s="7" t="s">
        <v>175</v>
      </c>
    </row>
    <row r="46" customFormat="false" ht="23.85" hidden="false" customHeight="false" outlineLevel="0" collapsed="false">
      <c r="A46" s="7" t="s">
        <v>272</v>
      </c>
      <c r="B46" s="7" t="s">
        <v>273</v>
      </c>
      <c r="C46" s="7" t="s">
        <v>274</v>
      </c>
      <c r="D46" s="7" t="s">
        <v>165</v>
      </c>
      <c r="E46" s="7" t="s">
        <v>170</v>
      </c>
      <c r="F46" s="7" t="s">
        <v>275</v>
      </c>
    </row>
    <row r="47" customFormat="false" ht="23.85" hidden="false" customHeight="false" outlineLevel="0" collapsed="false">
      <c r="A47" s="7" t="s">
        <v>276</v>
      </c>
      <c r="B47" s="7" t="s">
        <v>273</v>
      </c>
      <c r="C47" s="7" t="s">
        <v>277</v>
      </c>
      <c r="D47" s="7" t="s">
        <v>165</v>
      </c>
      <c r="E47" s="7" t="s">
        <v>170</v>
      </c>
      <c r="F47" s="7" t="s">
        <v>278</v>
      </c>
    </row>
    <row r="48" customFormat="false" ht="15" hidden="false" customHeight="false" outlineLevel="0" collapsed="false">
      <c r="A48" s="7" t="s">
        <v>279</v>
      </c>
      <c r="B48" s="7" t="s">
        <v>273</v>
      </c>
      <c r="C48" s="7" t="s">
        <v>213</v>
      </c>
      <c r="D48" s="7" t="s">
        <v>165</v>
      </c>
      <c r="E48" s="7" t="s">
        <v>166</v>
      </c>
      <c r="F48" s="7" t="s">
        <v>214</v>
      </c>
    </row>
    <row r="49" customFormat="false" ht="23.85" hidden="false" customHeight="false" outlineLevel="0" collapsed="false">
      <c r="A49" s="7" t="s">
        <v>280</v>
      </c>
      <c r="B49" s="7" t="s">
        <v>273</v>
      </c>
      <c r="C49" s="7" t="s">
        <v>169</v>
      </c>
      <c r="D49" s="7" t="s">
        <v>165</v>
      </c>
      <c r="E49" s="7" t="s">
        <v>170</v>
      </c>
      <c r="F49" s="7" t="s">
        <v>171</v>
      </c>
    </row>
    <row r="50" customFormat="false" ht="23.85" hidden="false" customHeight="false" outlineLevel="0" collapsed="false">
      <c r="A50" s="7" t="s">
        <v>281</v>
      </c>
      <c r="B50" s="7" t="s">
        <v>273</v>
      </c>
      <c r="C50" s="7" t="s">
        <v>173</v>
      </c>
      <c r="D50" s="7" t="s">
        <v>165</v>
      </c>
      <c r="E50" s="7" t="s">
        <v>174</v>
      </c>
      <c r="F50" s="7" t="s">
        <v>175</v>
      </c>
    </row>
    <row r="51" customFormat="false" ht="23.85" hidden="false" customHeight="false" outlineLevel="0" collapsed="false">
      <c r="A51" s="7" t="s">
        <v>282</v>
      </c>
      <c r="B51" s="7" t="s">
        <v>283</v>
      </c>
      <c r="C51" s="7" t="s">
        <v>284</v>
      </c>
      <c r="D51" s="7" t="s">
        <v>165</v>
      </c>
      <c r="E51" s="7" t="s">
        <v>186</v>
      </c>
      <c r="F51" s="7" t="s">
        <v>285</v>
      </c>
    </row>
    <row r="52" customFormat="false" ht="23.85" hidden="false" customHeight="false" outlineLevel="0" collapsed="false">
      <c r="A52" s="7" t="s">
        <v>286</v>
      </c>
      <c r="B52" s="7" t="s">
        <v>283</v>
      </c>
      <c r="C52" s="7" t="s">
        <v>287</v>
      </c>
      <c r="D52" s="7" t="s">
        <v>165</v>
      </c>
      <c r="E52" s="7" t="s">
        <v>186</v>
      </c>
      <c r="F52" s="7" t="s">
        <v>285</v>
      </c>
    </row>
    <row r="53" customFormat="false" ht="23.85" hidden="false" customHeight="false" outlineLevel="0" collapsed="false">
      <c r="A53" s="7" t="s">
        <v>288</v>
      </c>
      <c r="B53" s="7" t="s">
        <v>283</v>
      </c>
      <c r="C53" s="7" t="s">
        <v>289</v>
      </c>
      <c r="D53" s="7" t="s">
        <v>165</v>
      </c>
      <c r="E53" s="7" t="s">
        <v>186</v>
      </c>
      <c r="F53" s="7" t="s">
        <v>290</v>
      </c>
    </row>
    <row r="54" customFormat="false" ht="15" hidden="false" customHeight="false" outlineLevel="0" collapsed="false">
      <c r="A54" s="7" t="s">
        <v>291</v>
      </c>
      <c r="B54" s="7" t="s">
        <v>283</v>
      </c>
      <c r="C54" s="7" t="s">
        <v>292</v>
      </c>
      <c r="D54" s="7" t="s">
        <v>165</v>
      </c>
      <c r="E54" s="7" t="s">
        <v>170</v>
      </c>
      <c r="F54" s="7" t="s">
        <v>293</v>
      </c>
    </row>
    <row r="55" customFormat="false" ht="23.85" hidden="false" customHeight="false" outlineLevel="0" collapsed="false">
      <c r="A55" s="7" t="s">
        <v>294</v>
      </c>
      <c r="B55" s="7" t="s">
        <v>283</v>
      </c>
      <c r="C55" s="7" t="s">
        <v>255</v>
      </c>
      <c r="D55" s="7" t="s">
        <v>165</v>
      </c>
      <c r="E55" s="7" t="s">
        <v>170</v>
      </c>
      <c r="F55" s="7" t="s">
        <v>233</v>
      </c>
    </row>
    <row r="56" customFormat="false" ht="23.85" hidden="false" customHeight="false" outlineLevel="0" collapsed="false">
      <c r="A56" s="7" t="s">
        <v>295</v>
      </c>
      <c r="B56" s="7" t="s">
        <v>283</v>
      </c>
      <c r="C56" s="7" t="s">
        <v>296</v>
      </c>
      <c r="D56" s="7" t="s">
        <v>165</v>
      </c>
      <c r="E56" s="7" t="s">
        <v>186</v>
      </c>
      <c r="F56" s="7" t="s">
        <v>297</v>
      </c>
    </row>
    <row r="57" customFormat="false" ht="23.85" hidden="false" customHeight="false" outlineLevel="0" collapsed="false">
      <c r="A57" s="7" t="s">
        <v>298</v>
      </c>
      <c r="B57" s="7" t="s">
        <v>283</v>
      </c>
      <c r="C57" s="7" t="s">
        <v>299</v>
      </c>
      <c r="D57" s="7" t="s">
        <v>165</v>
      </c>
      <c r="E57" s="7" t="s">
        <v>186</v>
      </c>
      <c r="F57" s="7" t="s">
        <v>300</v>
      </c>
    </row>
    <row r="58" customFormat="false" ht="23.85" hidden="false" customHeight="false" outlineLevel="0" collapsed="false">
      <c r="A58" s="7" t="s">
        <v>301</v>
      </c>
      <c r="B58" s="7" t="s">
        <v>283</v>
      </c>
      <c r="C58" s="7" t="s">
        <v>302</v>
      </c>
      <c r="D58" s="7" t="s">
        <v>165</v>
      </c>
      <c r="E58" s="7" t="s">
        <v>186</v>
      </c>
      <c r="F58" s="7" t="s">
        <v>303</v>
      </c>
    </row>
    <row r="59" customFormat="false" ht="15" hidden="false" customHeight="false" outlineLevel="0" collapsed="false">
      <c r="A59" s="7" t="s">
        <v>304</v>
      </c>
      <c r="B59" s="7" t="s">
        <v>283</v>
      </c>
      <c r="C59" s="7" t="s">
        <v>213</v>
      </c>
      <c r="D59" s="7" t="s">
        <v>165</v>
      </c>
      <c r="E59" s="7" t="s">
        <v>166</v>
      </c>
      <c r="F59" s="7" t="s">
        <v>214</v>
      </c>
    </row>
    <row r="60" customFormat="false" ht="68.65" hidden="false" customHeight="false" outlineLevel="0" collapsed="false">
      <c r="A60" s="7" t="s">
        <v>305</v>
      </c>
      <c r="B60" s="7" t="s">
        <v>283</v>
      </c>
      <c r="C60" s="7" t="s">
        <v>261</v>
      </c>
      <c r="D60" s="7" t="s">
        <v>165</v>
      </c>
      <c r="E60" s="7" t="s">
        <v>186</v>
      </c>
      <c r="F60" s="7" t="s">
        <v>262</v>
      </c>
    </row>
    <row r="61" customFormat="false" ht="35.05" hidden="false" customHeight="false" outlineLevel="0" collapsed="false">
      <c r="A61" s="7" t="s">
        <v>306</v>
      </c>
      <c r="B61" s="7" t="s">
        <v>283</v>
      </c>
      <c r="C61" s="7" t="s">
        <v>264</v>
      </c>
      <c r="D61" s="7" t="s">
        <v>165</v>
      </c>
      <c r="E61" s="7" t="s">
        <v>186</v>
      </c>
      <c r="F61" s="7" t="s">
        <v>265</v>
      </c>
    </row>
    <row r="62" customFormat="false" ht="23.85" hidden="false" customHeight="false" outlineLevel="0" collapsed="false">
      <c r="A62" s="7" t="s">
        <v>307</v>
      </c>
      <c r="B62" s="7" t="s">
        <v>283</v>
      </c>
      <c r="C62" s="7" t="s">
        <v>169</v>
      </c>
      <c r="D62" s="7" t="s">
        <v>165</v>
      </c>
      <c r="E62" s="7" t="s">
        <v>170</v>
      </c>
      <c r="F62" s="7" t="s">
        <v>171</v>
      </c>
    </row>
    <row r="63" customFormat="false" ht="23.85" hidden="false" customHeight="false" outlineLevel="0" collapsed="false">
      <c r="A63" s="7" t="s">
        <v>308</v>
      </c>
      <c r="B63" s="7" t="s">
        <v>283</v>
      </c>
      <c r="C63" s="7" t="s">
        <v>173</v>
      </c>
      <c r="D63" s="7" t="s">
        <v>165</v>
      </c>
      <c r="E63" s="7" t="s">
        <v>174</v>
      </c>
      <c r="F63" s="7" t="s">
        <v>175</v>
      </c>
    </row>
    <row r="64" customFormat="false" ht="23.85" hidden="false" customHeight="false" outlineLevel="0" collapsed="false">
      <c r="A64" s="7" t="s">
        <v>309</v>
      </c>
      <c r="B64" s="7" t="s">
        <v>310</v>
      </c>
      <c r="C64" s="7" t="s">
        <v>311</v>
      </c>
      <c r="D64" s="7" t="s">
        <v>165</v>
      </c>
      <c r="E64" s="7" t="s">
        <v>170</v>
      </c>
      <c r="F64" s="7" t="s">
        <v>233</v>
      </c>
    </row>
    <row r="65" customFormat="false" ht="15" hidden="false" customHeight="false" outlineLevel="0" collapsed="false">
      <c r="A65" s="7" t="s">
        <v>312</v>
      </c>
      <c r="B65" s="7" t="s">
        <v>310</v>
      </c>
      <c r="C65" s="7" t="s">
        <v>213</v>
      </c>
      <c r="D65" s="7" t="s">
        <v>165</v>
      </c>
      <c r="E65" s="7" t="s">
        <v>166</v>
      </c>
      <c r="F65" s="7" t="s">
        <v>214</v>
      </c>
    </row>
    <row r="66" customFormat="false" ht="35.05" hidden="false" customHeight="false" outlineLevel="0" collapsed="false">
      <c r="A66" s="7" t="s">
        <v>313</v>
      </c>
      <c r="B66" s="7" t="s">
        <v>310</v>
      </c>
      <c r="C66" s="7" t="s">
        <v>314</v>
      </c>
      <c r="D66" s="7" t="s">
        <v>165</v>
      </c>
      <c r="E66" s="7" t="s">
        <v>186</v>
      </c>
      <c r="F66" s="7" t="s">
        <v>315</v>
      </c>
    </row>
    <row r="67" customFormat="false" ht="23.85" hidden="false" customHeight="false" outlineLevel="0" collapsed="false">
      <c r="A67" s="7" t="s">
        <v>316</v>
      </c>
      <c r="B67" s="7" t="s">
        <v>310</v>
      </c>
      <c r="C67" s="7" t="s">
        <v>169</v>
      </c>
      <c r="D67" s="7" t="s">
        <v>165</v>
      </c>
      <c r="E67" s="7" t="s">
        <v>170</v>
      </c>
      <c r="F67" s="7" t="s">
        <v>171</v>
      </c>
    </row>
    <row r="68" customFormat="false" ht="23.85" hidden="false" customHeight="false" outlineLevel="0" collapsed="false">
      <c r="A68" s="7" t="s">
        <v>317</v>
      </c>
      <c r="B68" s="7" t="s">
        <v>310</v>
      </c>
      <c r="C68" s="7" t="s">
        <v>173</v>
      </c>
      <c r="D68" s="7" t="s">
        <v>165</v>
      </c>
      <c r="E68" s="7" t="s">
        <v>174</v>
      </c>
      <c r="F68" s="7" t="s">
        <v>175</v>
      </c>
    </row>
    <row r="69" customFormat="false" ht="23.85" hidden="false" customHeight="false" outlineLevel="0" collapsed="false">
      <c r="A69" s="7" t="s">
        <v>318</v>
      </c>
      <c r="B69" s="7" t="s">
        <v>319</v>
      </c>
      <c r="C69" s="7" t="s">
        <v>320</v>
      </c>
      <c r="D69" s="7" t="s">
        <v>165</v>
      </c>
      <c r="E69" s="7" t="s">
        <v>170</v>
      </c>
      <c r="F69" s="7" t="s">
        <v>321</v>
      </c>
    </row>
    <row r="70" customFormat="false" ht="15" hidden="false" customHeight="false" outlineLevel="0" collapsed="false">
      <c r="A70" s="7" t="s">
        <v>322</v>
      </c>
      <c r="B70" s="7" t="s">
        <v>319</v>
      </c>
      <c r="C70" s="7" t="s">
        <v>323</v>
      </c>
      <c r="D70" s="7" t="s">
        <v>165</v>
      </c>
      <c r="E70" s="7" t="s">
        <v>170</v>
      </c>
      <c r="F70" s="7" t="s">
        <v>324</v>
      </c>
    </row>
    <row r="71" customFormat="false" ht="23.85" hidden="false" customHeight="false" outlineLevel="0" collapsed="false">
      <c r="A71" s="7" t="s">
        <v>325</v>
      </c>
      <c r="B71" s="7" t="s">
        <v>319</v>
      </c>
      <c r="C71" s="7" t="s">
        <v>326</v>
      </c>
      <c r="D71" s="7" t="s">
        <v>165</v>
      </c>
      <c r="E71" s="7" t="s">
        <v>190</v>
      </c>
      <c r="F71" s="7" t="s">
        <v>327</v>
      </c>
    </row>
    <row r="72" customFormat="false" ht="68.65" hidden="false" customHeight="false" outlineLevel="0" collapsed="false">
      <c r="A72" s="7" t="s">
        <v>328</v>
      </c>
      <c r="B72" s="7" t="s">
        <v>319</v>
      </c>
      <c r="C72" s="7" t="s">
        <v>329</v>
      </c>
      <c r="D72" s="7" t="s">
        <v>165</v>
      </c>
      <c r="E72" s="7" t="s">
        <v>186</v>
      </c>
      <c r="F72" s="7" t="s">
        <v>330</v>
      </c>
    </row>
    <row r="73" customFormat="false" ht="15" hidden="false" customHeight="false" outlineLevel="0" collapsed="false">
      <c r="A73" s="7" t="s">
        <v>331</v>
      </c>
      <c r="B73" s="7" t="s">
        <v>319</v>
      </c>
      <c r="C73" s="7" t="s">
        <v>213</v>
      </c>
      <c r="D73" s="7" t="s">
        <v>165</v>
      </c>
      <c r="E73" s="7" t="s">
        <v>166</v>
      </c>
      <c r="F73" s="7" t="s">
        <v>214</v>
      </c>
    </row>
    <row r="74" customFormat="false" ht="23.85" hidden="false" customHeight="false" outlineLevel="0" collapsed="false">
      <c r="A74" s="7" t="s">
        <v>332</v>
      </c>
      <c r="B74" s="7" t="s">
        <v>319</v>
      </c>
      <c r="C74" s="7" t="s">
        <v>169</v>
      </c>
      <c r="D74" s="7" t="s">
        <v>165</v>
      </c>
      <c r="E74" s="7" t="s">
        <v>170</v>
      </c>
      <c r="F74" s="7" t="s">
        <v>171</v>
      </c>
    </row>
    <row r="75" customFormat="false" ht="23.85" hidden="false" customHeight="false" outlineLevel="0" collapsed="false">
      <c r="A75" s="7" t="s">
        <v>333</v>
      </c>
      <c r="B75" s="7" t="s">
        <v>319</v>
      </c>
      <c r="C75" s="7" t="s">
        <v>173</v>
      </c>
      <c r="D75" s="7" t="s">
        <v>165</v>
      </c>
      <c r="E75" s="7" t="s">
        <v>174</v>
      </c>
      <c r="F75" s="7" t="s">
        <v>175</v>
      </c>
    </row>
    <row r="76" customFormat="false" ht="15" hidden="false" customHeight="false" outlineLevel="0" collapsed="false">
      <c r="A76" s="7" t="s">
        <v>334</v>
      </c>
      <c r="B76" s="7" t="s">
        <v>335</v>
      </c>
      <c r="C76" s="7" t="s">
        <v>216</v>
      </c>
      <c r="D76" s="7" t="s">
        <v>165</v>
      </c>
      <c r="E76" s="7" t="s">
        <v>166</v>
      </c>
      <c r="F76" s="7" t="s">
        <v>217</v>
      </c>
    </row>
    <row r="77" customFormat="false" ht="23.85" hidden="false" customHeight="false" outlineLevel="0" collapsed="false">
      <c r="A77" s="7" t="s">
        <v>336</v>
      </c>
      <c r="B77" s="7" t="s">
        <v>335</v>
      </c>
      <c r="C77" s="7" t="s">
        <v>169</v>
      </c>
      <c r="D77" s="7" t="s">
        <v>165</v>
      </c>
      <c r="E77" s="7" t="s">
        <v>170</v>
      </c>
      <c r="F77" s="7" t="s">
        <v>171</v>
      </c>
    </row>
    <row r="78" customFormat="false" ht="15" hidden="false" customHeight="false" outlineLevel="0" collapsed="false">
      <c r="A78" s="7" t="s">
        <v>337</v>
      </c>
      <c r="B78" s="7" t="s">
        <v>335</v>
      </c>
      <c r="C78" s="7" t="s">
        <v>338</v>
      </c>
      <c r="D78" s="7" t="s">
        <v>165</v>
      </c>
      <c r="E78" s="7" t="s">
        <v>186</v>
      </c>
      <c r="F78" s="7" t="s">
        <v>339</v>
      </c>
    </row>
    <row r="79" customFormat="false" ht="23.85" hidden="false" customHeight="false" outlineLevel="0" collapsed="false">
      <c r="A79" s="7" t="s">
        <v>340</v>
      </c>
      <c r="B79" s="7" t="s">
        <v>335</v>
      </c>
      <c r="C79" s="7" t="s">
        <v>173</v>
      </c>
      <c r="D79" s="7" t="s">
        <v>165</v>
      </c>
      <c r="E79" s="7" t="s">
        <v>174</v>
      </c>
      <c r="F79" s="7" t="s">
        <v>175</v>
      </c>
    </row>
    <row r="80" customFormat="false" ht="15" hidden="false" customHeight="false" outlineLevel="0" collapsed="false">
      <c r="A80" s="7" t="s">
        <v>341</v>
      </c>
      <c r="B80" s="7" t="s">
        <v>342</v>
      </c>
      <c r="C80" s="7" t="s">
        <v>213</v>
      </c>
      <c r="D80" s="7" t="s">
        <v>165</v>
      </c>
      <c r="E80" s="7" t="s">
        <v>166</v>
      </c>
      <c r="F80" s="7" t="s">
        <v>214</v>
      </c>
    </row>
    <row r="81" customFormat="false" ht="23.85" hidden="false" customHeight="false" outlineLevel="0" collapsed="false">
      <c r="A81" s="7" t="s">
        <v>343</v>
      </c>
      <c r="B81" s="7" t="s">
        <v>342</v>
      </c>
      <c r="C81" s="7" t="s">
        <v>169</v>
      </c>
      <c r="D81" s="7" t="s">
        <v>165</v>
      </c>
      <c r="E81" s="7" t="s">
        <v>170</v>
      </c>
      <c r="F81" s="7" t="s">
        <v>171</v>
      </c>
    </row>
    <row r="82" customFormat="false" ht="23.85" hidden="false" customHeight="false" outlineLevel="0" collapsed="false">
      <c r="A82" s="7" t="s">
        <v>344</v>
      </c>
      <c r="B82" s="7" t="s">
        <v>342</v>
      </c>
      <c r="C82" s="7" t="s">
        <v>173</v>
      </c>
      <c r="D82" s="7" t="s">
        <v>165</v>
      </c>
      <c r="E82" s="7" t="s">
        <v>174</v>
      </c>
      <c r="F82" s="7" t="s">
        <v>175</v>
      </c>
    </row>
    <row r="83" customFormat="false" ht="15" hidden="false" customHeight="false" outlineLevel="0" collapsed="false">
      <c r="A83" s="7" t="s">
        <v>345</v>
      </c>
      <c r="B83" s="7" t="s">
        <v>346</v>
      </c>
      <c r="C83" s="7" t="s">
        <v>213</v>
      </c>
      <c r="D83" s="7" t="s">
        <v>165</v>
      </c>
      <c r="E83" s="7" t="s">
        <v>166</v>
      </c>
      <c r="F83" s="7" t="s">
        <v>214</v>
      </c>
    </row>
    <row r="84" customFormat="false" ht="23.85" hidden="false" customHeight="false" outlineLevel="0" collapsed="false">
      <c r="A84" s="7" t="s">
        <v>347</v>
      </c>
      <c r="B84" s="7" t="s">
        <v>346</v>
      </c>
      <c r="C84" s="7" t="s">
        <v>169</v>
      </c>
      <c r="D84" s="7" t="s">
        <v>165</v>
      </c>
      <c r="E84" s="7" t="s">
        <v>170</v>
      </c>
      <c r="F84" s="7" t="s">
        <v>171</v>
      </c>
    </row>
    <row r="85" customFormat="false" ht="23.85" hidden="false" customHeight="false" outlineLevel="0" collapsed="false">
      <c r="A85" s="7" t="s">
        <v>348</v>
      </c>
      <c r="B85" s="7" t="s">
        <v>346</v>
      </c>
      <c r="C85" s="7" t="s">
        <v>173</v>
      </c>
      <c r="D85" s="7" t="s">
        <v>165</v>
      </c>
      <c r="E85" s="7" t="s">
        <v>174</v>
      </c>
      <c r="F85" s="7" t="s">
        <v>175</v>
      </c>
    </row>
    <row r="86" customFormat="false" ht="23.85" hidden="false" customHeight="false" outlineLevel="0" collapsed="false">
      <c r="A86" s="7" t="s">
        <v>349</v>
      </c>
      <c r="B86" s="7" t="s">
        <v>350</v>
      </c>
      <c r="C86" s="7" t="s">
        <v>351</v>
      </c>
      <c r="D86" s="7" t="s">
        <v>165</v>
      </c>
      <c r="E86" s="7" t="s">
        <v>190</v>
      </c>
      <c r="F86" s="7" t="s">
        <v>352</v>
      </c>
    </row>
    <row r="87" customFormat="false" ht="23.85" hidden="false" customHeight="false" outlineLevel="0" collapsed="false">
      <c r="A87" s="7" t="s">
        <v>353</v>
      </c>
      <c r="B87" s="7" t="s">
        <v>350</v>
      </c>
      <c r="C87" s="7" t="s">
        <v>354</v>
      </c>
      <c r="D87" s="7" t="s">
        <v>165</v>
      </c>
      <c r="E87" s="7" t="s">
        <v>190</v>
      </c>
      <c r="F87" s="7" t="s">
        <v>355</v>
      </c>
    </row>
    <row r="88" customFormat="false" ht="15" hidden="false" customHeight="false" outlineLevel="0" collapsed="false">
      <c r="A88" s="7" t="s">
        <v>356</v>
      </c>
      <c r="B88" s="7" t="s">
        <v>350</v>
      </c>
      <c r="C88" s="7" t="s">
        <v>213</v>
      </c>
      <c r="D88" s="7" t="s">
        <v>165</v>
      </c>
      <c r="E88" s="7" t="s">
        <v>166</v>
      </c>
      <c r="F88" s="7" t="s">
        <v>214</v>
      </c>
    </row>
    <row r="89" customFormat="false" ht="23.85" hidden="false" customHeight="false" outlineLevel="0" collapsed="false">
      <c r="A89" s="7" t="s">
        <v>357</v>
      </c>
      <c r="B89" s="7" t="s">
        <v>350</v>
      </c>
      <c r="C89" s="7" t="s">
        <v>169</v>
      </c>
      <c r="D89" s="7" t="s">
        <v>165</v>
      </c>
      <c r="E89" s="7" t="s">
        <v>170</v>
      </c>
      <c r="F89" s="7" t="s">
        <v>171</v>
      </c>
    </row>
    <row r="90" customFormat="false" ht="23.85" hidden="false" customHeight="false" outlineLevel="0" collapsed="false">
      <c r="A90" s="7" t="s">
        <v>358</v>
      </c>
      <c r="B90" s="7" t="s">
        <v>350</v>
      </c>
      <c r="C90" s="7" t="s">
        <v>173</v>
      </c>
      <c r="D90" s="7" t="s">
        <v>165</v>
      </c>
      <c r="E90" s="7" t="s">
        <v>174</v>
      </c>
      <c r="F90" s="7" t="s">
        <v>175</v>
      </c>
    </row>
    <row r="91" customFormat="false" ht="23.85" hidden="false" customHeight="false" outlineLevel="0" collapsed="false">
      <c r="A91" s="7" t="s">
        <v>359</v>
      </c>
      <c r="B91" s="7" t="s">
        <v>360</v>
      </c>
      <c r="C91" s="7" t="s">
        <v>351</v>
      </c>
      <c r="D91" s="7" t="s">
        <v>165</v>
      </c>
      <c r="E91" s="7" t="s">
        <v>190</v>
      </c>
      <c r="F91" s="7" t="s">
        <v>352</v>
      </c>
    </row>
    <row r="92" customFormat="false" ht="23.85" hidden="false" customHeight="false" outlineLevel="0" collapsed="false">
      <c r="A92" s="7" t="s">
        <v>361</v>
      </c>
      <c r="B92" s="7" t="s">
        <v>360</v>
      </c>
      <c r="C92" s="7" t="s">
        <v>354</v>
      </c>
      <c r="D92" s="7" t="s">
        <v>165</v>
      </c>
      <c r="E92" s="7" t="s">
        <v>190</v>
      </c>
      <c r="F92" s="7" t="s">
        <v>355</v>
      </c>
    </row>
    <row r="93" customFormat="false" ht="15" hidden="false" customHeight="false" outlineLevel="0" collapsed="false">
      <c r="A93" s="7" t="s">
        <v>362</v>
      </c>
      <c r="B93" s="7" t="s">
        <v>360</v>
      </c>
      <c r="C93" s="7" t="s">
        <v>213</v>
      </c>
      <c r="D93" s="7" t="s">
        <v>165</v>
      </c>
      <c r="E93" s="7" t="s">
        <v>166</v>
      </c>
      <c r="F93" s="7" t="s">
        <v>214</v>
      </c>
    </row>
    <row r="94" customFormat="false" ht="23.85" hidden="false" customHeight="false" outlineLevel="0" collapsed="false">
      <c r="A94" s="7" t="s">
        <v>363</v>
      </c>
      <c r="B94" s="7" t="s">
        <v>360</v>
      </c>
      <c r="C94" s="7" t="s">
        <v>169</v>
      </c>
      <c r="D94" s="7" t="s">
        <v>165</v>
      </c>
      <c r="E94" s="7" t="s">
        <v>170</v>
      </c>
      <c r="F94" s="7" t="s">
        <v>171</v>
      </c>
    </row>
    <row r="95" customFormat="false" ht="23.85" hidden="false" customHeight="false" outlineLevel="0" collapsed="false">
      <c r="A95" s="7" t="s">
        <v>364</v>
      </c>
      <c r="B95" s="7" t="s">
        <v>360</v>
      </c>
      <c r="C95" s="7" t="s">
        <v>173</v>
      </c>
      <c r="D95" s="7" t="s">
        <v>165</v>
      </c>
      <c r="E95" s="7" t="s">
        <v>174</v>
      </c>
      <c r="F95" s="7" t="s">
        <v>175</v>
      </c>
    </row>
    <row r="96" customFormat="false" ht="23.85" hidden="false" customHeight="false" outlineLevel="0" collapsed="false">
      <c r="A96" s="7" t="s">
        <v>365</v>
      </c>
      <c r="B96" s="7" t="s">
        <v>366</v>
      </c>
      <c r="C96" s="7" t="s">
        <v>367</v>
      </c>
      <c r="D96" s="7" t="s">
        <v>165</v>
      </c>
      <c r="E96" s="7" t="s">
        <v>170</v>
      </c>
      <c r="F96" s="7" t="s">
        <v>368</v>
      </c>
    </row>
    <row r="97" customFormat="false" ht="15" hidden="false" customHeight="false" outlineLevel="0" collapsed="false">
      <c r="A97" s="7" t="s">
        <v>369</v>
      </c>
      <c r="B97" s="7" t="s">
        <v>366</v>
      </c>
      <c r="C97" s="7" t="s">
        <v>213</v>
      </c>
      <c r="D97" s="7" t="s">
        <v>165</v>
      </c>
      <c r="E97" s="7" t="s">
        <v>166</v>
      </c>
      <c r="F97" s="7" t="s">
        <v>214</v>
      </c>
    </row>
    <row r="98" customFormat="false" ht="23.85" hidden="false" customHeight="false" outlineLevel="0" collapsed="false">
      <c r="A98" s="7" t="s">
        <v>370</v>
      </c>
      <c r="B98" s="7" t="s">
        <v>366</v>
      </c>
      <c r="C98" s="7" t="s">
        <v>169</v>
      </c>
      <c r="D98" s="7" t="s">
        <v>165</v>
      </c>
      <c r="E98" s="7" t="s">
        <v>170</v>
      </c>
      <c r="F98" s="7" t="s">
        <v>171</v>
      </c>
    </row>
    <row r="99" customFormat="false" ht="23.85" hidden="false" customHeight="false" outlineLevel="0" collapsed="false">
      <c r="A99" s="7" t="s">
        <v>371</v>
      </c>
      <c r="B99" s="7" t="s">
        <v>366</v>
      </c>
      <c r="C99" s="7" t="s">
        <v>173</v>
      </c>
      <c r="D99" s="7" t="s">
        <v>165</v>
      </c>
      <c r="E99" s="7" t="s">
        <v>174</v>
      </c>
      <c r="F99" s="7" t="s">
        <v>175</v>
      </c>
    </row>
    <row r="100" customFormat="false" ht="23.85" hidden="false" customHeight="false" outlineLevel="0" collapsed="false">
      <c r="A100" s="7" t="s">
        <v>372</v>
      </c>
      <c r="B100" s="7" t="s">
        <v>373</v>
      </c>
      <c r="C100" s="7" t="s">
        <v>374</v>
      </c>
      <c r="D100" s="7" t="s">
        <v>165</v>
      </c>
      <c r="E100" s="7" t="s">
        <v>170</v>
      </c>
      <c r="F100" s="7" t="s">
        <v>368</v>
      </c>
    </row>
    <row r="101" customFormat="false" ht="15" hidden="false" customHeight="false" outlineLevel="0" collapsed="false">
      <c r="A101" s="7" t="s">
        <v>375</v>
      </c>
      <c r="B101" s="7" t="s">
        <v>373</v>
      </c>
      <c r="C101" s="7" t="s">
        <v>376</v>
      </c>
      <c r="D101" s="7" t="s">
        <v>165</v>
      </c>
      <c r="E101" s="7" t="s">
        <v>170</v>
      </c>
      <c r="F101" s="7" t="s">
        <v>377</v>
      </c>
    </row>
    <row r="102" customFormat="false" ht="15" hidden="false" customHeight="false" outlineLevel="0" collapsed="false">
      <c r="A102" s="7" t="s">
        <v>378</v>
      </c>
      <c r="B102" s="7" t="s">
        <v>373</v>
      </c>
      <c r="C102" s="7" t="s">
        <v>213</v>
      </c>
      <c r="D102" s="7" t="s">
        <v>165</v>
      </c>
      <c r="E102" s="7" t="s">
        <v>166</v>
      </c>
      <c r="F102" s="7" t="s">
        <v>214</v>
      </c>
    </row>
    <row r="103" customFormat="false" ht="23.85" hidden="false" customHeight="false" outlineLevel="0" collapsed="false">
      <c r="A103" s="7" t="s">
        <v>379</v>
      </c>
      <c r="B103" s="7" t="s">
        <v>373</v>
      </c>
      <c r="C103" s="7" t="s">
        <v>169</v>
      </c>
      <c r="D103" s="7" t="s">
        <v>165</v>
      </c>
      <c r="E103" s="7" t="s">
        <v>170</v>
      </c>
      <c r="F103" s="7" t="s">
        <v>171</v>
      </c>
    </row>
    <row r="104" customFormat="false" ht="23.85" hidden="false" customHeight="false" outlineLevel="0" collapsed="false">
      <c r="A104" s="7" t="s">
        <v>380</v>
      </c>
      <c r="B104" s="7" t="s">
        <v>373</v>
      </c>
      <c r="C104" s="7" t="s">
        <v>173</v>
      </c>
      <c r="D104" s="7" t="s">
        <v>165</v>
      </c>
      <c r="E104" s="7" t="s">
        <v>174</v>
      </c>
      <c r="F104" s="7" t="s">
        <v>175</v>
      </c>
    </row>
    <row r="105" customFormat="false" ht="23.85" hidden="false" customHeight="false" outlineLevel="0" collapsed="false">
      <c r="A105" s="7" t="s">
        <v>381</v>
      </c>
      <c r="B105" s="7" t="s">
        <v>382</v>
      </c>
      <c r="C105" s="7" t="s">
        <v>383</v>
      </c>
      <c r="D105" s="7" t="s">
        <v>165</v>
      </c>
      <c r="E105" s="7" t="s">
        <v>166</v>
      </c>
      <c r="F105" s="7" t="s">
        <v>384</v>
      </c>
    </row>
    <row r="106" customFormat="false" ht="23.85" hidden="false" customHeight="false" outlineLevel="0" collapsed="false">
      <c r="A106" s="7" t="s">
        <v>385</v>
      </c>
      <c r="B106" s="7" t="s">
        <v>382</v>
      </c>
      <c r="C106" s="7" t="s">
        <v>386</v>
      </c>
      <c r="D106" s="7" t="s">
        <v>165</v>
      </c>
      <c r="E106" s="7" t="s">
        <v>186</v>
      </c>
      <c r="F106" s="7" t="s">
        <v>387</v>
      </c>
    </row>
    <row r="107" customFormat="false" ht="23.85" hidden="false" customHeight="false" outlineLevel="0" collapsed="false">
      <c r="A107" s="7" t="s">
        <v>388</v>
      </c>
      <c r="B107" s="7" t="s">
        <v>382</v>
      </c>
      <c r="C107" s="7" t="s">
        <v>389</v>
      </c>
      <c r="D107" s="7" t="s">
        <v>165</v>
      </c>
      <c r="E107" s="7" t="s">
        <v>186</v>
      </c>
      <c r="F107" s="7" t="s">
        <v>390</v>
      </c>
    </row>
    <row r="108" customFormat="false" ht="35.05" hidden="false" customHeight="false" outlineLevel="0" collapsed="false">
      <c r="A108" s="7" t="s">
        <v>391</v>
      </c>
      <c r="B108" s="7" t="s">
        <v>382</v>
      </c>
      <c r="C108" s="7" t="s">
        <v>392</v>
      </c>
      <c r="D108" s="7" t="s">
        <v>165</v>
      </c>
      <c r="E108" s="7" t="s">
        <v>186</v>
      </c>
      <c r="F108" s="7" t="s">
        <v>393</v>
      </c>
    </row>
    <row r="109" customFormat="false" ht="15" hidden="false" customHeight="false" outlineLevel="0" collapsed="false">
      <c r="A109" s="7" t="s">
        <v>394</v>
      </c>
      <c r="B109" s="7" t="s">
        <v>382</v>
      </c>
      <c r="C109" s="7" t="s">
        <v>213</v>
      </c>
      <c r="D109" s="7" t="s">
        <v>165</v>
      </c>
      <c r="E109" s="7" t="s">
        <v>166</v>
      </c>
      <c r="F109" s="7" t="s">
        <v>214</v>
      </c>
    </row>
    <row r="110" customFormat="false" ht="23.85" hidden="false" customHeight="false" outlineLevel="0" collapsed="false">
      <c r="A110" s="7" t="s">
        <v>395</v>
      </c>
      <c r="B110" s="7" t="s">
        <v>382</v>
      </c>
      <c r="C110" s="7" t="s">
        <v>169</v>
      </c>
      <c r="D110" s="7" t="s">
        <v>165</v>
      </c>
      <c r="E110" s="7" t="s">
        <v>170</v>
      </c>
      <c r="F110" s="7" t="s">
        <v>171</v>
      </c>
    </row>
    <row r="111" customFormat="false" ht="23.85" hidden="false" customHeight="false" outlineLevel="0" collapsed="false">
      <c r="A111" s="7" t="s">
        <v>396</v>
      </c>
      <c r="B111" s="7" t="s">
        <v>382</v>
      </c>
      <c r="C111" s="7" t="s">
        <v>173</v>
      </c>
      <c r="D111" s="7" t="s">
        <v>165</v>
      </c>
      <c r="E111" s="7" t="s">
        <v>174</v>
      </c>
      <c r="F111" s="7" t="s">
        <v>175</v>
      </c>
    </row>
    <row r="112" customFormat="false" ht="15" hidden="false" customHeight="false" outlineLevel="0" collapsed="false">
      <c r="A112" s="7" t="s">
        <v>397</v>
      </c>
      <c r="B112" s="7" t="s">
        <v>398</v>
      </c>
      <c r="C112" s="7" t="s">
        <v>376</v>
      </c>
      <c r="D112" s="7" t="s">
        <v>165</v>
      </c>
      <c r="E112" s="7" t="s">
        <v>170</v>
      </c>
      <c r="F112" s="7" t="s">
        <v>377</v>
      </c>
    </row>
    <row r="113" customFormat="false" ht="35.05" hidden="false" customHeight="false" outlineLevel="0" collapsed="false">
      <c r="A113" s="7" t="s">
        <v>399</v>
      </c>
      <c r="B113" s="7" t="s">
        <v>398</v>
      </c>
      <c r="C113" s="7" t="s">
        <v>400</v>
      </c>
      <c r="D113" s="7" t="s">
        <v>165</v>
      </c>
      <c r="E113" s="7" t="s">
        <v>166</v>
      </c>
      <c r="F113" s="7" t="s">
        <v>401</v>
      </c>
    </row>
    <row r="114" customFormat="false" ht="23.85" hidden="false" customHeight="false" outlineLevel="0" collapsed="false">
      <c r="A114" s="7" t="s">
        <v>402</v>
      </c>
      <c r="B114" s="7" t="s">
        <v>398</v>
      </c>
      <c r="C114" s="7" t="s">
        <v>403</v>
      </c>
      <c r="D114" s="7" t="s">
        <v>165</v>
      </c>
      <c r="E114" s="7" t="s">
        <v>186</v>
      </c>
      <c r="F114" s="7" t="s">
        <v>285</v>
      </c>
    </row>
    <row r="115" customFormat="false" ht="15" hidden="false" customHeight="false" outlineLevel="0" collapsed="false">
      <c r="A115" s="7" t="s">
        <v>404</v>
      </c>
      <c r="B115" s="7" t="s">
        <v>398</v>
      </c>
      <c r="C115" s="7" t="s">
        <v>213</v>
      </c>
      <c r="D115" s="7" t="s">
        <v>165</v>
      </c>
      <c r="E115" s="7" t="s">
        <v>166</v>
      </c>
      <c r="F115" s="7" t="s">
        <v>214</v>
      </c>
    </row>
    <row r="116" customFormat="false" ht="23.85" hidden="false" customHeight="false" outlineLevel="0" collapsed="false">
      <c r="A116" s="7" t="s">
        <v>405</v>
      </c>
      <c r="B116" s="7" t="s">
        <v>398</v>
      </c>
      <c r="C116" s="7" t="s">
        <v>169</v>
      </c>
      <c r="D116" s="7" t="s">
        <v>165</v>
      </c>
      <c r="E116" s="7" t="s">
        <v>170</v>
      </c>
      <c r="F116" s="7" t="s">
        <v>171</v>
      </c>
    </row>
    <row r="117" customFormat="false" ht="23.85" hidden="false" customHeight="false" outlineLevel="0" collapsed="false">
      <c r="A117" s="7" t="s">
        <v>406</v>
      </c>
      <c r="B117" s="7" t="s">
        <v>398</v>
      </c>
      <c r="C117" s="7" t="s">
        <v>173</v>
      </c>
      <c r="D117" s="7" t="s">
        <v>165</v>
      </c>
      <c r="E117" s="7" t="s">
        <v>174</v>
      </c>
      <c r="F117" s="7" t="s">
        <v>175</v>
      </c>
    </row>
  </sheetData>
  <autoFilter ref="A1:F1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0"/>
    <col collapsed="false" customWidth="true" hidden="false" outlineLevel="0" max="4" min="4" style="0" width="60"/>
    <col collapsed="false" customWidth="true" hidden="false" outlineLevel="0" max="5" min="5" style="0" width="40"/>
    <col collapsed="false" customWidth="true" hidden="false" outlineLevel="0" max="6" min="6" style="0" width="22"/>
    <col collapsed="false" customWidth="true" hidden="false" outlineLevel="0" max="8" min="7" style="0" width="10"/>
    <col collapsed="false" customWidth="true" hidden="false" outlineLevel="0" max="9" min="9" style="0" width="40"/>
  </cols>
  <sheetData>
    <row r="1" customFormat="false" ht="15" hidden="false" customHeight="false" outlineLevel="0" collapsed="false">
      <c r="A1" s="6" t="s">
        <v>20</v>
      </c>
      <c r="B1" s="6" t="s">
        <v>407</v>
      </c>
      <c r="C1" s="6" t="s">
        <v>408</v>
      </c>
      <c r="D1" s="6" t="s">
        <v>409</v>
      </c>
      <c r="E1" s="6" t="s">
        <v>410</v>
      </c>
      <c r="F1" s="6" t="s">
        <v>411</v>
      </c>
      <c r="G1" s="6" t="s">
        <v>412</v>
      </c>
      <c r="H1" s="6" t="s">
        <v>25</v>
      </c>
      <c r="I1" s="6" t="s">
        <v>413</v>
      </c>
    </row>
    <row r="2" customFormat="false" ht="35.05" hidden="false" customHeight="false" outlineLevel="0" collapsed="false">
      <c r="A2" s="7" t="n">
        <v>1</v>
      </c>
      <c r="B2" s="7" t="s">
        <v>414</v>
      </c>
      <c r="C2" s="7" t="s">
        <v>415</v>
      </c>
      <c r="D2" s="7" t="s">
        <v>416</v>
      </c>
      <c r="E2" s="7" t="s">
        <v>417</v>
      </c>
      <c r="F2" s="7" t="s">
        <v>418</v>
      </c>
      <c r="G2" s="7" t="s">
        <v>419</v>
      </c>
      <c r="H2" s="8" t="s">
        <v>420</v>
      </c>
      <c r="I2" s="8"/>
    </row>
    <row r="3" customFormat="false" ht="23.85" hidden="false" customHeight="false" outlineLevel="0" collapsed="false">
      <c r="A3" s="7" t="n">
        <v>2</v>
      </c>
      <c r="B3" s="7" t="s">
        <v>414</v>
      </c>
      <c r="C3" s="7" t="s">
        <v>421</v>
      </c>
      <c r="D3" s="7" t="s">
        <v>422</v>
      </c>
      <c r="E3" s="7" t="s">
        <v>423</v>
      </c>
      <c r="F3" s="7" t="s">
        <v>66</v>
      </c>
      <c r="G3" s="7" t="s">
        <v>419</v>
      </c>
      <c r="H3" s="8" t="s">
        <v>420</v>
      </c>
      <c r="I3" s="8"/>
    </row>
    <row r="4" customFormat="false" ht="23.85" hidden="false" customHeight="false" outlineLevel="0" collapsed="false">
      <c r="A4" s="7" t="n">
        <v>3</v>
      </c>
      <c r="B4" s="7" t="s">
        <v>414</v>
      </c>
      <c r="C4" s="7" t="s">
        <v>424</v>
      </c>
      <c r="D4" s="7" t="s">
        <v>425</v>
      </c>
      <c r="E4" s="7" t="s">
        <v>426</v>
      </c>
      <c r="F4" s="7" t="s">
        <v>427</v>
      </c>
      <c r="G4" s="7" t="s">
        <v>419</v>
      </c>
      <c r="H4" s="8" t="s">
        <v>420</v>
      </c>
      <c r="I4" s="8"/>
    </row>
    <row r="5" customFormat="false" ht="23.85" hidden="false" customHeight="false" outlineLevel="0" collapsed="false">
      <c r="A5" s="7" t="n">
        <v>4</v>
      </c>
      <c r="B5" s="7" t="s">
        <v>414</v>
      </c>
      <c r="C5" s="7" t="s">
        <v>428</v>
      </c>
      <c r="D5" s="7" t="s">
        <v>429</v>
      </c>
      <c r="E5" s="7" t="s">
        <v>430</v>
      </c>
      <c r="F5" s="7" t="s">
        <v>431</v>
      </c>
      <c r="G5" s="7" t="s">
        <v>432</v>
      </c>
      <c r="H5" s="8" t="s">
        <v>420</v>
      </c>
      <c r="I5" s="8"/>
    </row>
    <row r="6" customFormat="false" ht="23.85" hidden="false" customHeight="false" outlineLevel="0" collapsed="false">
      <c r="A6" s="7" t="n">
        <v>5</v>
      </c>
      <c r="B6" s="7" t="s">
        <v>414</v>
      </c>
      <c r="C6" s="7" t="s">
        <v>433</v>
      </c>
      <c r="D6" s="7" t="s">
        <v>434</v>
      </c>
      <c r="E6" s="7" t="s">
        <v>435</v>
      </c>
      <c r="F6" s="7" t="s">
        <v>436</v>
      </c>
      <c r="G6" s="7" t="s">
        <v>419</v>
      </c>
      <c r="H6" s="8" t="s">
        <v>420</v>
      </c>
      <c r="I6" s="8"/>
    </row>
    <row r="7" customFormat="false" ht="23.85" hidden="false" customHeight="false" outlineLevel="0" collapsed="false">
      <c r="A7" s="7" t="n">
        <v>6</v>
      </c>
      <c r="B7" s="7" t="s">
        <v>414</v>
      </c>
      <c r="C7" s="7" t="s">
        <v>437</v>
      </c>
      <c r="D7" s="7" t="s">
        <v>438</v>
      </c>
      <c r="E7" s="7" t="s">
        <v>439</v>
      </c>
      <c r="F7" s="7" t="s">
        <v>440</v>
      </c>
      <c r="G7" s="7" t="s">
        <v>432</v>
      </c>
      <c r="H7" s="8" t="s">
        <v>420</v>
      </c>
      <c r="I7" s="8"/>
    </row>
    <row r="8" customFormat="false" ht="23.85" hidden="false" customHeight="false" outlineLevel="0" collapsed="false">
      <c r="A8" s="7" t="n">
        <v>7</v>
      </c>
      <c r="B8" s="7" t="s">
        <v>414</v>
      </c>
      <c r="C8" s="7" t="s">
        <v>441</v>
      </c>
      <c r="D8" s="7" t="s">
        <v>442</v>
      </c>
      <c r="E8" s="7" t="s">
        <v>443</v>
      </c>
      <c r="F8" s="7" t="s">
        <v>444</v>
      </c>
      <c r="G8" s="7" t="s">
        <v>419</v>
      </c>
      <c r="H8" s="8" t="s">
        <v>420</v>
      </c>
      <c r="I8" s="8"/>
    </row>
    <row r="9" customFormat="false" ht="23.85" hidden="false" customHeight="false" outlineLevel="0" collapsed="false">
      <c r="A9" s="7" t="n">
        <v>8</v>
      </c>
      <c r="B9" s="7" t="s">
        <v>414</v>
      </c>
      <c r="C9" s="7" t="s">
        <v>445</v>
      </c>
      <c r="D9" s="7" t="s">
        <v>446</v>
      </c>
      <c r="E9" s="7" t="s">
        <v>447</v>
      </c>
      <c r="F9" s="7" t="s">
        <v>448</v>
      </c>
      <c r="G9" s="7" t="s">
        <v>432</v>
      </c>
      <c r="H9" s="8" t="s">
        <v>420</v>
      </c>
      <c r="I9" s="8"/>
    </row>
    <row r="10" customFormat="false" ht="23.85" hidden="false" customHeight="false" outlineLevel="0" collapsed="false">
      <c r="A10" s="7" t="n">
        <v>9</v>
      </c>
      <c r="B10" s="7" t="s">
        <v>414</v>
      </c>
      <c r="C10" s="7" t="s">
        <v>449</v>
      </c>
      <c r="D10" s="7" t="s">
        <v>450</v>
      </c>
      <c r="E10" s="7" t="s">
        <v>451</v>
      </c>
      <c r="F10" s="7" t="s">
        <v>452</v>
      </c>
      <c r="G10" s="7" t="s">
        <v>432</v>
      </c>
      <c r="H10" s="8" t="s">
        <v>420</v>
      </c>
      <c r="I10" s="8"/>
    </row>
    <row r="11" customFormat="false" ht="23.85" hidden="false" customHeight="false" outlineLevel="0" collapsed="false">
      <c r="A11" s="7" t="n">
        <v>10</v>
      </c>
      <c r="B11" s="7" t="s">
        <v>414</v>
      </c>
      <c r="C11" s="7" t="s">
        <v>453</v>
      </c>
      <c r="D11" s="7" t="s">
        <v>454</v>
      </c>
      <c r="E11" s="7" t="s">
        <v>455</v>
      </c>
      <c r="F11" s="7" t="s">
        <v>456</v>
      </c>
      <c r="G11" s="7" t="s">
        <v>457</v>
      </c>
      <c r="H11" s="8" t="s">
        <v>420</v>
      </c>
      <c r="I11" s="8"/>
    </row>
    <row r="12" customFormat="false" ht="23.85" hidden="false" customHeight="false" outlineLevel="0" collapsed="false">
      <c r="A12" s="7" t="n">
        <v>11</v>
      </c>
      <c r="B12" s="7" t="s">
        <v>414</v>
      </c>
      <c r="C12" s="7" t="s">
        <v>458</v>
      </c>
      <c r="D12" s="7" t="s">
        <v>459</v>
      </c>
      <c r="E12" s="7" t="s">
        <v>460</v>
      </c>
      <c r="F12" s="7" t="s">
        <v>456</v>
      </c>
      <c r="G12" s="7" t="s">
        <v>432</v>
      </c>
      <c r="H12" s="8" t="s">
        <v>420</v>
      </c>
      <c r="I12" s="8"/>
    </row>
    <row r="13" customFormat="false" ht="23.85" hidden="false" customHeight="false" outlineLevel="0" collapsed="false">
      <c r="A13" s="7" t="n">
        <v>12</v>
      </c>
      <c r="B13" s="7" t="s">
        <v>414</v>
      </c>
      <c r="C13" s="7" t="s">
        <v>461</v>
      </c>
      <c r="D13" s="7" t="s">
        <v>462</v>
      </c>
      <c r="E13" s="7" t="s">
        <v>463</v>
      </c>
      <c r="F13" s="7" t="s">
        <v>464</v>
      </c>
      <c r="G13" s="7" t="s">
        <v>457</v>
      </c>
      <c r="H13" s="8" t="s">
        <v>420</v>
      </c>
      <c r="I13" s="8"/>
    </row>
    <row r="14" customFormat="false" ht="23.85" hidden="false" customHeight="false" outlineLevel="0" collapsed="false">
      <c r="A14" s="7" t="n">
        <v>13</v>
      </c>
      <c r="B14" s="7" t="s">
        <v>465</v>
      </c>
      <c r="C14" s="7" t="s">
        <v>466</v>
      </c>
      <c r="D14" s="7" t="s">
        <v>467</v>
      </c>
      <c r="E14" s="7" t="s">
        <v>468</v>
      </c>
      <c r="F14" s="7" t="s">
        <v>469</v>
      </c>
      <c r="G14" s="7" t="s">
        <v>432</v>
      </c>
      <c r="H14" s="8" t="s">
        <v>420</v>
      </c>
      <c r="I14" s="8"/>
    </row>
    <row r="15" customFormat="false" ht="23.85" hidden="false" customHeight="false" outlineLevel="0" collapsed="false">
      <c r="A15" s="7" t="n">
        <v>14</v>
      </c>
      <c r="B15" s="7" t="s">
        <v>465</v>
      </c>
      <c r="C15" s="7" t="s">
        <v>470</v>
      </c>
      <c r="D15" s="7" t="s">
        <v>471</v>
      </c>
      <c r="E15" s="7" t="s">
        <v>472</v>
      </c>
      <c r="F15" s="7" t="s">
        <v>473</v>
      </c>
      <c r="G15" s="7" t="s">
        <v>419</v>
      </c>
      <c r="H15" s="8" t="s">
        <v>420</v>
      </c>
      <c r="I15" s="8"/>
    </row>
    <row r="16" customFormat="false" ht="23.85" hidden="false" customHeight="false" outlineLevel="0" collapsed="false">
      <c r="A16" s="7" t="n">
        <v>15</v>
      </c>
      <c r="B16" s="7" t="s">
        <v>465</v>
      </c>
      <c r="C16" s="7" t="s">
        <v>474</v>
      </c>
      <c r="D16" s="7" t="s">
        <v>475</v>
      </c>
      <c r="E16" s="7" t="s">
        <v>476</v>
      </c>
      <c r="F16" s="7" t="s">
        <v>477</v>
      </c>
      <c r="G16" s="7" t="s">
        <v>457</v>
      </c>
      <c r="H16" s="8" t="s">
        <v>420</v>
      </c>
      <c r="I16" s="8"/>
    </row>
    <row r="17" customFormat="false" ht="15" hidden="false" customHeight="false" outlineLevel="0" collapsed="false">
      <c r="A17" s="7" t="n">
        <v>16</v>
      </c>
      <c r="B17" s="7" t="s">
        <v>478</v>
      </c>
      <c r="C17" s="7" t="s">
        <v>479</v>
      </c>
      <c r="D17" s="7" t="s">
        <v>480</v>
      </c>
      <c r="E17" s="7" t="s">
        <v>481</v>
      </c>
      <c r="F17" s="7" t="s">
        <v>482</v>
      </c>
      <c r="G17" s="7" t="s">
        <v>432</v>
      </c>
      <c r="H17" s="8" t="s">
        <v>420</v>
      </c>
      <c r="I17" s="8"/>
    </row>
    <row r="19" customFormat="false" ht="15" hidden="false" customHeight="false" outlineLevel="0" collapsed="false">
      <c r="A19" s="9" t="s">
        <v>483</v>
      </c>
    </row>
  </sheetData>
  <autoFilter ref="A1:I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50"/>
    <col collapsed="false" customWidth="true" hidden="false" outlineLevel="0" max="4" min="4" style="0" width="16"/>
    <col collapsed="false" customWidth="true" hidden="false" outlineLevel="0" max="5" min="5" style="0" width="12"/>
  </cols>
  <sheetData>
    <row r="1" customFormat="false" ht="15" hidden="false" customHeight="false" outlineLevel="0" collapsed="false">
      <c r="A1" s="6" t="s">
        <v>20</v>
      </c>
      <c r="B1" s="6" t="s">
        <v>484</v>
      </c>
      <c r="C1" s="6" t="s">
        <v>485</v>
      </c>
      <c r="D1" s="6" t="s">
        <v>486</v>
      </c>
      <c r="E1" s="6" t="s">
        <v>25</v>
      </c>
    </row>
    <row r="2" customFormat="false" ht="15" hidden="false" customHeight="false" outlineLevel="0" collapsed="false">
      <c r="A2" s="7" t="s">
        <v>26</v>
      </c>
      <c r="B2" s="7" t="s">
        <v>487</v>
      </c>
      <c r="C2" s="7" t="s">
        <v>488</v>
      </c>
      <c r="D2" s="7" t="s">
        <v>489</v>
      </c>
      <c r="E2" s="8" t="s">
        <v>420</v>
      </c>
    </row>
    <row r="3" customFormat="false" ht="15" hidden="false" customHeight="false" outlineLevel="0" collapsed="false">
      <c r="A3" s="7" t="s">
        <v>32</v>
      </c>
      <c r="B3" s="7" t="s">
        <v>490</v>
      </c>
      <c r="C3" s="7" t="s">
        <v>491</v>
      </c>
      <c r="D3" s="7" t="s">
        <v>489</v>
      </c>
      <c r="E3" s="8" t="s">
        <v>420</v>
      </c>
    </row>
    <row r="4" customFormat="false" ht="15" hidden="false" customHeight="false" outlineLevel="0" collapsed="false">
      <c r="A4" s="7" t="s">
        <v>37</v>
      </c>
      <c r="B4" s="7" t="s">
        <v>492</v>
      </c>
      <c r="C4" s="7" t="s">
        <v>493</v>
      </c>
      <c r="D4" s="7" t="s">
        <v>494</v>
      </c>
      <c r="E4" s="8" t="s">
        <v>420</v>
      </c>
    </row>
    <row r="5" customFormat="false" ht="15" hidden="false" customHeight="false" outlineLevel="0" collapsed="false">
      <c r="A5" s="7" t="s">
        <v>42</v>
      </c>
      <c r="B5" s="7" t="s">
        <v>495</v>
      </c>
      <c r="C5" s="7" t="s">
        <v>496</v>
      </c>
      <c r="D5" s="7" t="s">
        <v>497</v>
      </c>
      <c r="E5" s="8" t="s">
        <v>420</v>
      </c>
    </row>
    <row r="6" customFormat="false" ht="15" hidden="false" customHeight="false" outlineLevel="0" collapsed="false">
      <c r="A6" s="7" t="s">
        <v>47</v>
      </c>
      <c r="B6" s="7" t="s">
        <v>498</v>
      </c>
      <c r="C6" s="7" t="s">
        <v>499</v>
      </c>
      <c r="D6" s="7" t="s">
        <v>489</v>
      </c>
      <c r="E6" s="8" t="s">
        <v>420</v>
      </c>
    </row>
    <row r="7" customFormat="false" ht="23.85" hidden="false" customHeight="false" outlineLevel="0" collapsed="false">
      <c r="A7" s="7" t="s">
        <v>52</v>
      </c>
      <c r="B7" s="7" t="s">
        <v>500</v>
      </c>
      <c r="C7" s="7" t="s">
        <v>501</v>
      </c>
      <c r="D7" s="7" t="s">
        <v>489</v>
      </c>
      <c r="E7" s="8" t="s">
        <v>420</v>
      </c>
    </row>
    <row r="8" customFormat="false" ht="15" hidden="false" customHeight="false" outlineLevel="0" collapsed="false">
      <c r="A8" s="7" t="s">
        <v>57</v>
      </c>
      <c r="B8" s="7" t="s">
        <v>502</v>
      </c>
      <c r="C8" s="7" t="s">
        <v>503</v>
      </c>
      <c r="D8" s="7" t="s">
        <v>489</v>
      </c>
      <c r="E8" s="8" t="s">
        <v>420</v>
      </c>
    </row>
    <row r="9" customFormat="false" ht="15" hidden="false" customHeight="false" outlineLevel="0" collapsed="false">
      <c r="A9" s="7" t="s">
        <v>62</v>
      </c>
      <c r="B9" s="7" t="s">
        <v>504</v>
      </c>
      <c r="C9" s="7" t="s">
        <v>505</v>
      </c>
      <c r="D9" s="7" t="s">
        <v>489</v>
      </c>
      <c r="E9" s="8" t="s">
        <v>420</v>
      </c>
    </row>
  </sheetData>
  <autoFilter ref="A1:E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2026-10-28T05:47:29Z</dcterms:created>
  <dc:creator>openpyxl</dc:creator>
  <dc:description/>
  <dc:language>en-US</dc:language>
  <cp:lastModifiedBy/>
  <dcterms:modified xsi:type="dcterms:W3CDTF">2026-10-28T05:47:29Z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